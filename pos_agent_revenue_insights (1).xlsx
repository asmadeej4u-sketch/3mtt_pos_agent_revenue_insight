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Pricing &amp; Assumptions" sheetId="2" state="visible" r:id="rId2"/>
    <sheet xmlns:r="http://schemas.openxmlformats.org/officeDocument/2006/relationships" name="Cleaned Transactions" sheetId="3" state="visible" r:id="rId3"/>
    <sheet xmlns:r="http://schemas.openxmlformats.org/officeDocument/2006/relationships" name="KPI Calcu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₦#,##0"/>
    <numFmt numFmtId="165" formatCode="₦#,##0.00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b val="1"/>
    </font>
    <font>
      <b val="1"/>
      <color rgb="001B365D"/>
      <sz val="11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595959"/>
      <sz val="9"/>
    </font>
    <font>
      <name val="Calibri"/>
      <b val="1"/>
      <color rgb="001B365D"/>
      <sz val="18"/>
    </font>
    <font>
      <name val="Calibri"/>
      <b val="1"/>
      <color rgb="001B365D"/>
      <sz val="12"/>
    </font>
    <font>
      <name val="Calibri"/>
      <color rgb="001B365D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C"/>
        <bgColor rgb="00F9FAFC"/>
      </patternFill>
    </fill>
    <fill>
      <patternFill patternType="solid">
        <fgColor rgb="002E5B88"/>
        <bgColor rgb="002E5B88"/>
      </patternFill>
    </fill>
    <fill>
      <patternFill patternType="solid">
        <fgColor rgb="00F0F4F8"/>
        <bgColor rgb="00F0F4F8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164" fontId="9" fillId="6" borderId="0" applyAlignment="1" pivotButton="0" quotePrefix="0" xfId="0">
      <alignment horizontal="center" vertical="center"/>
    </xf>
    <xf numFmtId="3" fontId="9" fillId="6" borderId="0" applyAlignment="1" pivotButton="0" quotePrefix="0" xfId="0">
      <alignment horizontal="center" vertical="center"/>
    </xf>
    <xf numFmtId="166" fontId="9" fillId="6" borderId="0" applyAlignment="1" pivotButton="0" quotePrefix="0" xfId="0">
      <alignment horizontal="center" vertical="center"/>
    </xf>
    <xf numFmtId="165" fontId="9" fillId="6" borderId="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0" fontId="4" fillId="0" borderId="2" pivotButton="0" quotePrefix="0" xfId="0"/>
    <xf numFmtId="164" fontId="4" fillId="0" borderId="2" pivotButton="0" quotePrefix="0" xfId="0"/>
    <xf numFmtId="165" fontId="4" fillId="0" borderId="2" pivotButton="0" quotePrefix="0" xfId="0"/>
    <xf numFmtId="0" fontId="11" fillId="5" borderId="0" applyAlignment="1" pivotButton="0" quotePrefix="0" xfId="0">
      <alignment horizontal="left"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164" fontId="0" fillId="3" borderId="1" applyAlignment="1" pivotButton="0" quotePrefix="0" xfId="0">
      <alignment horizontal="right"/>
    </xf>
    <xf numFmtId="0" fontId="5" fillId="0" borderId="0" pivotButton="0" quotePrefix="0" xfId="0"/>
    <xf numFmtId="0" fontId="3" fillId="4" borderId="0" applyAlignment="1" pivotButton="0" quotePrefix="0" xfId="0">
      <alignment horizontal="center"/>
    </xf>
    <xf numFmtId="3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Profit Share by Service Type</a:t>
            </a:r>
          </a:p>
        </rich>
      </tx>
    </title>
    <plotArea>
      <pieChart>
        <varyColors val="1"/>
        <ser>
          <idx val="0"/>
          <order val="0"/>
          <tx>
            <strRef>
              <f>'KPI Calculations'!E4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Calculations'!$A$5:$A$8</f>
            </numRef>
          </cat>
          <val>
            <numRef>
              <f>'KPI Calculations'!$E$5:$E$8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Hourly Peak Demand (Transaction Volume in NGN)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Calculations'!C25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Calculations'!$A$26:$A$41</f>
            </numRef>
          </cat>
          <val>
            <numRef>
              <f>'KPI Calculations'!$C$26:$C$41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(NGN)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15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5" customHeight="1">
      <c r="A1" s="1" t="inlineStr">
        <is>
          <t>POS AGENT REVENUE &amp; OPERATIONAL INSIGHTS DASHBOARD</t>
        </is>
      </c>
    </row>
    <row r="2" ht="20" customHeight="1">
      <c r="A2" s="2" t="inlineStr">
        <is>
          <t>3MTT Capstone Project | Agent Location: Yaba, Lagos | Period: March 2026 | Prepared for POS Business Growth</t>
        </is>
      </c>
    </row>
    <row r="4" ht="18" customHeight="1">
      <c r="A4" s="3" t="inlineStr">
        <is>
          <t>TOTAL TRANSACTION VOLUME</t>
        </is>
      </c>
      <c r="C4" s="3" t="inlineStr">
        <is>
          <t>TOTAL NET PROFIT</t>
        </is>
      </c>
      <c r="E4" s="3" t="inlineStr">
        <is>
          <t>TOTAL TRANSACTIONS</t>
        </is>
      </c>
      <c r="G4" s="3" t="inlineStr">
        <is>
          <t>SUCCESS RATE</t>
        </is>
      </c>
      <c r="I4" s="3" t="inlineStr">
        <is>
          <t>AVG PROFIT / TX</t>
        </is>
      </c>
    </row>
    <row r="5" ht="18" customHeight="1">
      <c r="A5" s="4">
        <f>'KPI Calculations'!B9</f>
        <v/>
      </c>
      <c r="C5" s="4">
        <f>'KPI Calculations'!E9</f>
        <v/>
      </c>
      <c r="E5" s="5">
        <f>'KPI Calculations'!C9</f>
        <v/>
      </c>
      <c r="G5" s="6">
        <f>'KPI Calculations'!D9/'KPI Calculations'!C9</f>
        <v/>
      </c>
      <c r="I5" s="7">
        <f>'KPI Calculations'!F9</f>
        <v/>
      </c>
    </row>
    <row r="6" ht="18" customHeight="1"/>
    <row r="8">
      <c r="A8" s="8" t="inlineStr">
        <is>
          <t>Key Performance Summaries</t>
        </is>
      </c>
    </row>
    <row r="9">
      <c r="A9" s="9" t="inlineStr">
        <is>
          <t>Transaction Type</t>
        </is>
      </c>
      <c r="B9" s="9" t="inlineStr">
        <is>
          <t>Volume (NGN)</t>
        </is>
      </c>
      <c r="C9" s="9" t="inlineStr">
        <is>
          <t>Net Profit (NGN)</t>
        </is>
      </c>
      <c r="D9" s="9" t="inlineStr">
        <is>
          <t>Avg Profit/Tx</t>
        </is>
      </c>
      <c r="F9" s="9" t="inlineStr">
        <is>
          <t>Bank Name</t>
        </is>
      </c>
      <c r="G9" s="9" t="inlineStr">
        <is>
          <t>Total Txns</t>
        </is>
      </c>
      <c r="H9" s="9" t="inlineStr">
        <is>
          <t>Failed Txns</t>
        </is>
      </c>
      <c r="I9" s="9" t="inlineStr">
        <is>
          <t>Success Rate</t>
        </is>
      </c>
    </row>
    <row r="10">
      <c r="A10" s="10">
        <f>'KPI Calculations'!A5</f>
        <v/>
      </c>
      <c r="B10" s="11">
        <f>'KPI Calculations'!B5</f>
        <v/>
      </c>
      <c r="C10" s="11">
        <f>'KPI Calculations'!E5</f>
        <v/>
      </c>
      <c r="D10" s="12">
        <f>'KPI Calculations'!F5</f>
        <v/>
      </c>
      <c r="F10" s="10">
        <f>'KPI Calculations'!A14</f>
        <v/>
      </c>
      <c r="G10" s="13">
        <f>'KPI Calculations'!B14</f>
        <v/>
      </c>
      <c r="H10" s="13">
        <f>'KPI Calculations'!D14</f>
        <v/>
      </c>
      <c r="I10" s="14">
        <f>'KPI Calculations'!E14</f>
        <v/>
      </c>
    </row>
    <row r="11">
      <c r="A11" s="10">
        <f>'KPI Calculations'!A6</f>
        <v/>
      </c>
      <c r="B11" s="11">
        <f>'KPI Calculations'!B6</f>
        <v/>
      </c>
      <c r="C11" s="11">
        <f>'KPI Calculations'!E6</f>
        <v/>
      </c>
      <c r="D11" s="12">
        <f>'KPI Calculations'!F6</f>
        <v/>
      </c>
      <c r="F11" s="10">
        <f>'KPI Calculations'!A15</f>
        <v/>
      </c>
      <c r="G11" s="13">
        <f>'KPI Calculations'!B15</f>
        <v/>
      </c>
      <c r="H11" s="13">
        <f>'KPI Calculations'!D15</f>
        <v/>
      </c>
      <c r="I11" s="14">
        <f>'KPI Calculations'!E15</f>
        <v/>
      </c>
    </row>
    <row r="12">
      <c r="A12" s="10">
        <f>'KPI Calculations'!A7</f>
        <v/>
      </c>
      <c r="B12" s="11">
        <f>'KPI Calculations'!B7</f>
        <v/>
      </c>
      <c r="C12" s="11">
        <f>'KPI Calculations'!E7</f>
        <v/>
      </c>
      <c r="D12" s="12">
        <f>'KPI Calculations'!F7</f>
        <v/>
      </c>
      <c r="F12" s="10">
        <f>'KPI Calculations'!A16</f>
        <v/>
      </c>
      <c r="G12" s="13">
        <f>'KPI Calculations'!B16</f>
        <v/>
      </c>
      <c r="H12" s="13">
        <f>'KPI Calculations'!D16</f>
        <v/>
      </c>
      <c r="I12" s="14">
        <f>'KPI Calculations'!E16</f>
        <v/>
      </c>
    </row>
    <row r="13">
      <c r="A13" s="10">
        <f>'KPI Calculations'!A8</f>
        <v/>
      </c>
      <c r="B13" s="11">
        <f>'KPI Calculations'!B8</f>
        <v/>
      </c>
      <c r="C13" s="11">
        <f>'KPI Calculations'!E8</f>
        <v/>
      </c>
      <c r="D13" s="12">
        <f>'KPI Calculations'!F8</f>
        <v/>
      </c>
      <c r="F13" s="10">
        <f>'KPI Calculations'!A17</f>
        <v/>
      </c>
      <c r="G13" s="13">
        <f>'KPI Calculations'!B17</f>
        <v/>
      </c>
      <c r="H13" s="13">
        <f>'KPI Calculations'!D17</f>
        <v/>
      </c>
      <c r="I13" s="14">
        <f>'KPI Calculations'!E17</f>
        <v/>
      </c>
    </row>
    <row r="14">
      <c r="A14" s="15" t="inlineStr">
        <is>
          <t>Total / Avg</t>
        </is>
      </c>
      <c r="B14" s="16">
        <f>'KPI Calculations'!B9</f>
        <v/>
      </c>
      <c r="C14" s="16">
        <f>'KPI Calculations'!E9</f>
        <v/>
      </c>
      <c r="D14" s="17">
        <f>'KPI Calculations'!F9</f>
        <v/>
      </c>
      <c r="F14" s="10">
        <f>'KPI Calculations'!A18</f>
        <v/>
      </c>
      <c r="G14" s="13">
        <f>'KPI Calculations'!B18</f>
        <v/>
      </c>
      <c r="H14" s="13">
        <f>'KPI Calculations'!D18</f>
        <v/>
      </c>
      <c r="I14" s="14">
        <f>'KPI Calculations'!E18</f>
        <v/>
      </c>
    </row>
    <row r="15">
      <c r="F15" s="10">
        <f>'KPI Calculations'!A19</f>
        <v/>
      </c>
      <c r="G15" s="13">
        <f>'KPI Calculations'!B19</f>
        <v/>
      </c>
      <c r="H15" s="13">
        <f>'KPI Calculations'!D19</f>
        <v/>
      </c>
      <c r="I15" s="14">
        <f>'KPI Calculations'!E19</f>
        <v/>
      </c>
    </row>
    <row r="16">
      <c r="F16" s="10">
        <f>'KPI Calculations'!A20</f>
        <v/>
      </c>
      <c r="G16" s="13">
        <f>'KPI Calculations'!B20</f>
        <v/>
      </c>
      <c r="H16" s="13">
        <f>'KPI Calculations'!D20</f>
        <v/>
      </c>
      <c r="I16" s="14">
        <f>'KPI Calculations'!E20</f>
        <v/>
      </c>
    </row>
    <row r="17">
      <c r="F17" s="10">
        <f>'KPI Calculations'!A21</f>
        <v/>
      </c>
      <c r="G17" s="13">
        <f>'KPI Calculations'!B21</f>
        <v/>
      </c>
      <c r="H17" s="13">
        <f>'KPI Calculations'!D21</f>
        <v/>
      </c>
      <c r="I17" s="14">
        <f>'KPI Calculations'!E21</f>
        <v/>
      </c>
    </row>
    <row r="32">
      <c r="A32" s="18" t="inlineStr">
        <is>
          <t>KEY STRATEGIC INSIGHTS FOR POS AGENT PROFITABILITY:
1. Top Profit Driver: Cash-Out (Withdrawals) contributes ~65% of net profit. Maintain sufficient cash float especially during weekend peaks.
2. Peak Demand Window: Transaction volumes spike between 4:00 PM and 7:00 PM. Agent should secure extra cash float before 3:30 PM.
3. Bank Network Downtime: Certain banks experience failure rates above 12%. Recommend routing transactions to alternative agent platforms during peak downtime hours.
4. Low-Margin Services: Airtime sales yield low absolute margin per transaction. Use airtime top-ups primarily as a foot-traffic driver for higher-margin Cash-Out services.</t>
        </is>
      </c>
    </row>
    <row r="33"/>
    <row r="34"/>
    <row r="35"/>
    <row r="36"/>
    <row r="37"/>
  </sheetData>
  <mergeCells count="13">
    <mergeCell ref="A4:B4"/>
    <mergeCell ref="G4:H4"/>
    <mergeCell ref="E4:F4"/>
    <mergeCell ref="I4:J4"/>
    <mergeCell ref="A2:K2"/>
    <mergeCell ref="C5:D6"/>
    <mergeCell ref="A5:B6"/>
    <mergeCell ref="G5:H6"/>
    <mergeCell ref="E5:F6"/>
    <mergeCell ref="A32:K37"/>
    <mergeCell ref="I5:J6"/>
    <mergeCell ref="A1:K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selection activeCell="A1" sqref="A1"/>
    </sheetView>
  </sheetViews>
  <sheetFormatPr baseColWidth="8" defaultRowHeight="15"/>
  <sheetData>
    <row r="1">
      <c r="A1" s="19" t="inlineStr">
        <is>
          <t>POS Agent Pricing Model &amp; Fee Assumptions</t>
        </is>
      </c>
    </row>
    <row r="2">
      <c r="A2" s="20" t="inlineStr">
        <is>
          <t>3MTT Capstone Project | POS Agent Revenue Insights (Nigeria Context)</t>
        </is>
      </c>
    </row>
    <row r="4" ht="24" customHeight="1">
      <c r="A4" s="21" t="inlineStr">
        <is>
          <t>Transaction Type</t>
        </is>
      </c>
      <c r="B4" s="21" t="inlineStr">
        <is>
          <t>Amount Tier (NGN)</t>
        </is>
      </c>
      <c r="C4" s="21" t="inlineStr">
        <is>
          <t>Customer Fee Charged (NGN)</t>
        </is>
      </c>
      <c r="D4" s="21" t="inlineStr">
        <is>
          <t>Provider Commission (NGN)</t>
        </is>
      </c>
      <c r="E4" s="21" t="inlineStr">
        <is>
          <t>Net Margin / Trade Note</t>
        </is>
      </c>
    </row>
    <row r="5">
      <c r="A5" s="22" t="inlineStr">
        <is>
          <t>Cash-Out (Withdrawal)</t>
        </is>
      </c>
      <c r="B5" s="22" t="inlineStr">
        <is>
          <t>₦1,000 - ₦5,000</t>
        </is>
      </c>
      <c r="C5" s="23" t="n">
        <v>100</v>
      </c>
      <c r="D5" s="23" t="n">
        <v>25</v>
      </c>
      <c r="E5" s="22" t="inlineStr">
        <is>
          <t>Standard neighborhood rate</t>
        </is>
      </c>
    </row>
    <row r="6">
      <c r="A6" s="22" t="inlineStr">
        <is>
          <t>Cash-Out (Withdrawal)</t>
        </is>
      </c>
      <c r="B6" s="22" t="inlineStr">
        <is>
          <t>₦5,001 - ₦10,000</t>
        </is>
      </c>
      <c r="C6" s="23" t="n">
        <v>200</v>
      </c>
      <c r="D6" s="23" t="n">
        <v>50</v>
      </c>
      <c r="E6" s="22" t="inlineStr">
        <is>
          <t>Capped provider charge</t>
        </is>
      </c>
    </row>
    <row r="7">
      <c r="A7" s="22" t="inlineStr">
        <is>
          <t>Cash-Out (Withdrawal)</t>
        </is>
      </c>
      <c r="B7" s="22" t="inlineStr">
        <is>
          <t>₦10,001 - ₦20,000</t>
        </is>
      </c>
      <c r="C7" s="23" t="n">
        <v>300</v>
      </c>
      <c r="D7" s="23" t="n">
        <v>80</v>
      </c>
      <c r="E7" s="22" t="inlineStr">
        <is>
          <t>High volume cash-out</t>
        </is>
      </c>
    </row>
    <row r="8">
      <c r="A8" s="22" t="inlineStr">
        <is>
          <t>Cash-In (Deposit)</t>
        </is>
      </c>
      <c r="B8" s="22" t="inlineStr">
        <is>
          <t>₦1,000 - ₦10,000</t>
        </is>
      </c>
      <c r="C8" s="23" t="n">
        <v>100</v>
      </c>
      <c r="D8" s="23" t="n">
        <v>30</v>
      </c>
      <c r="E8" s="22" t="inlineStr">
        <is>
          <t>Fixed deposit fee</t>
        </is>
      </c>
    </row>
    <row r="9">
      <c r="A9" s="22" t="inlineStr">
        <is>
          <t>Cash-In (Deposit)</t>
        </is>
      </c>
      <c r="B9" s="22" t="inlineStr">
        <is>
          <t>₦10,001 - ₦50,000</t>
        </is>
      </c>
      <c r="C9" s="23" t="n">
        <v>200</v>
      </c>
      <c r="D9" s="23" t="n">
        <v>50</v>
      </c>
      <c r="E9" s="22" t="inlineStr">
        <is>
          <t>Agent transfer service</t>
        </is>
      </c>
    </row>
    <row r="10">
      <c r="A10" s="22" t="inlineStr">
        <is>
          <t>Bill Payment (Utility/TV)</t>
        </is>
      </c>
      <c r="B10" s="22" t="inlineStr">
        <is>
          <t>Flat Fee</t>
        </is>
      </c>
      <c r="C10" s="23" t="n">
        <v>150</v>
      </c>
      <c r="D10" s="23" t="n">
        <v>50</v>
      </c>
      <c r="E10" s="22" t="inlineStr">
        <is>
          <t>DSTV / PHCN bill payments</t>
        </is>
      </c>
    </row>
    <row r="11">
      <c r="A11" s="22" t="inlineStr">
        <is>
          <t>Airtime / Data Top-up</t>
        </is>
      </c>
      <c r="B11" s="22" t="inlineStr">
        <is>
          <t>Variable</t>
        </is>
      </c>
      <c r="C11" s="24" t="inlineStr">
        <is>
          <t>2.0% Commission</t>
        </is>
      </c>
      <c r="D11" s="24" t="inlineStr">
        <is>
          <t>0.5% Cost</t>
        </is>
      </c>
      <c r="E11" s="22" t="inlineStr">
        <is>
          <t>Agent retains 1.5% net margin</t>
        </is>
      </c>
    </row>
    <row r="14">
      <c r="A14" s="25" t="inlineStr">
        <is>
          <t>Supported Banks / Networks</t>
        </is>
      </c>
    </row>
    <row r="15">
      <c r="A15" t="inlineStr">
        <is>
          <t>GTBank</t>
        </is>
      </c>
    </row>
    <row r="16">
      <c r="A16" t="inlineStr">
        <is>
          <t>Access Bank</t>
        </is>
      </c>
    </row>
    <row r="17">
      <c r="A17" t="inlineStr">
        <is>
          <t>Zenith Bank</t>
        </is>
      </c>
    </row>
    <row r="18">
      <c r="A18" t="inlineStr">
        <is>
          <t>First Bank</t>
        </is>
      </c>
    </row>
    <row r="19">
      <c r="A19" t="inlineStr">
        <is>
          <t>Kuda Bank</t>
        </is>
      </c>
    </row>
    <row r="20">
      <c r="A20" t="inlineStr">
        <is>
          <t>OPay</t>
        </is>
      </c>
    </row>
    <row r="21">
      <c r="A21" t="inlineStr">
        <is>
          <t>Moniepoint</t>
        </is>
      </c>
    </row>
    <row r="22">
      <c r="A22" t="inlineStr">
        <is>
          <t>UBA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3" customWidth="1" min="3" max="3"/>
    <col width="14" customWidth="1" min="4" max="4"/>
    <col width="12" customWidth="1" min="5" max="5"/>
    <col width="19" customWidth="1" min="6" max="6"/>
    <col width="16" customWidth="1" min="7" max="7"/>
    <col width="15" customWidth="1" min="8" max="8"/>
    <col width="21" customWidth="1" min="9" max="9"/>
    <col width="21" customWidth="1" min="10" max="10"/>
    <col width="19" customWidth="1" min="11" max="11"/>
    <col width="13" customWidth="1" min="12" max="12"/>
    <col width="27" customWidth="1" min="13" max="13"/>
  </cols>
  <sheetData>
    <row r="1" ht="26" customHeight="1">
      <c r="A1" s="26" t="inlineStr">
        <is>
          <t>Transaction ID</t>
        </is>
      </c>
      <c r="B1" s="26" t="inlineStr">
        <is>
          <t>Timestamp</t>
        </is>
      </c>
      <c r="C1" s="26" t="inlineStr">
        <is>
          <t>Date</t>
        </is>
      </c>
      <c r="D1" s="26" t="inlineStr">
        <is>
          <t>Day of Week</t>
        </is>
      </c>
      <c r="E1" s="26" t="inlineStr">
        <is>
          <t>Hour</t>
        </is>
      </c>
      <c r="F1" s="26" t="inlineStr">
        <is>
          <t>Transaction Type</t>
        </is>
      </c>
      <c r="G1" s="26" t="inlineStr">
        <is>
          <t>Customer Bank</t>
        </is>
      </c>
      <c r="H1" s="26" t="inlineStr">
        <is>
          <t>Amount (NGN)</t>
        </is>
      </c>
      <c r="I1" s="26" t="inlineStr">
        <is>
          <t>Customer Fee (NGN)</t>
        </is>
      </c>
      <c r="J1" s="26" t="inlineStr">
        <is>
          <t>Provider Fee (NGN)</t>
        </is>
      </c>
      <c r="K1" s="26" t="inlineStr">
        <is>
          <t>Net Profit (NGN)</t>
        </is>
      </c>
      <c r="L1" s="26" t="inlineStr">
        <is>
          <t>Status</t>
        </is>
      </c>
      <c r="M1" s="26" t="inlineStr">
        <is>
          <t>Failure Reason</t>
        </is>
      </c>
    </row>
    <row r="2">
      <c r="A2" s="27" t="inlineStr">
        <is>
          <t>POS-2026-0001</t>
        </is>
      </c>
      <c r="B2" s="27" t="inlineStr">
        <is>
          <t>2026-03-01 07:17:15</t>
        </is>
      </c>
      <c r="C2" s="27" t="inlineStr">
        <is>
          <t>2026-03-01</t>
        </is>
      </c>
      <c r="D2" s="28" t="inlineStr">
        <is>
          <t>Sunday</t>
        </is>
      </c>
      <c r="E2" s="27" t="n">
        <v>7</v>
      </c>
      <c r="F2" s="28" t="inlineStr">
        <is>
          <t>Cash-Out</t>
        </is>
      </c>
      <c r="G2" s="28" t="inlineStr">
        <is>
          <t>Access Bank</t>
        </is>
      </c>
      <c r="H2" s="29" t="n">
        <v>3000</v>
      </c>
      <c r="I2" s="29" t="n">
        <v>100</v>
      </c>
      <c r="J2" s="29" t="n">
        <v>25</v>
      </c>
      <c r="K2" s="29">
        <f>I2-J2</f>
        <v/>
      </c>
      <c r="L2" s="27" t="inlineStr">
        <is>
          <t>Successful</t>
        </is>
      </c>
      <c r="M2" s="28" t="inlineStr">
        <is>
          <t>None</t>
        </is>
      </c>
    </row>
    <row r="3">
      <c r="A3" s="30" t="inlineStr">
        <is>
          <t>POS-2026-0002</t>
        </is>
      </c>
      <c r="B3" s="30" t="inlineStr">
        <is>
          <t>2026-03-01 07:05:13</t>
        </is>
      </c>
      <c r="C3" s="30" t="inlineStr">
        <is>
          <t>2026-03-01</t>
        </is>
      </c>
      <c r="D3" s="31" t="inlineStr">
        <is>
          <t>Sunday</t>
        </is>
      </c>
      <c r="E3" s="30" t="n">
        <v>7</v>
      </c>
      <c r="F3" s="31" t="inlineStr">
        <is>
          <t>Cash-Out</t>
        </is>
      </c>
      <c r="G3" s="31" t="inlineStr">
        <is>
          <t>GTBank</t>
        </is>
      </c>
      <c r="H3" s="32" t="n">
        <v>7000</v>
      </c>
      <c r="I3" s="32" t="n">
        <v>200</v>
      </c>
      <c r="J3" s="32" t="n">
        <v>50</v>
      </c>
      <c r="K3" s="32">
        <f>I3-J3</f>
        <v/>
      </c>
      <c r="L3" s="30" t="inlineStr">
        <is>
          <t>Successful</t>
        </is>
      </c>
      <c r="M3" s="31" t="inlineStr">
        <is>
          <t>None</t>
        </is>
      </c>
    </row>
    <row r="4">
      <c r="A4" s="27" t="inlineStr">
        <is>
          <t>POS-2026-0003</t>
        </is>
      </c>
      <c r="B4" s="27" t="inlineStr">
        <is>
          <t>2026-03-01 15:26:14</t>
        </is>
      </c>
      <c r="C4" s="27" t="inlineStr">
        <is>
          <t>2026-03-01</t>
        </is>
      </c>
      <c r="D4" s="28" t="inlineStr">
        <is>
          <t>Sunday</t>
        </is>
      </c>
      <c r="E4" s="27" t="n">
        <v>15</v>
      </c>
      <c r="F4" s="28" t="inlineStr">
        <is>
          <t>Cash-Out</t>
        </is>
      </c>
      <c r="G4" s="28" t="inlineStr">
        <is>
          <t>Kuda Bank</t>
        </is>
      </c>
      <c r="H4" s="29" t="n">
        <v>2000</v>
      </c>
      <c r="I4" s="29" t="n">
        <v>100</v>
      </c>
      <c r="J4" s="29" t="n">
        <v>25</v>
      </c>
      <c r="K4" s="29">
        <f>I4-J4</f>
        <v/>
      </c>
      <c r="L4" s="27" t="inlineStr">
        <is>
          <t>Successful</t>
        </is>
      </c>
      <c r="M4" s="28" t="inlineStr">
        <is>
          <t>None</t>
        </is>
      </c>
    </row>
    <row r="5">
      <c r="A5" s="30" t="inlineStr">
        <is>
          <t>POS-2026-0004</t>
        </is>
      </c>
      <c r="B5" s="30" t="inlineStr">
        <is>
          <t>2026-03-01 10:27:21</t>
        </is>
      </c>
      <c r="C5" s="30" t="inlineStr">
        <is>
          <t>2026-03-01</t>
        </is>
      </c>
      <c r="D5" s="31" t="inlineStr">
        <is>
          <t>Sunday</t>
        </is>
      </c>
      <c r="E5" s="30" t="n">
        <v>10</v>
      </c>
      <c r="F5" s="31" t="inlineStr">
        <is>
          <t>Cash-Out</t>
        </is>
      </c>
      <c r="G5" s="31" t="inlineStr">
        <is>
          <t>First Bank</t>
        </is>
      </c>
      <c r="H5" s="32" t="n">
        <v>15000</v>
      </c>
      <c r="I5" s="32" t="n">
        <v>300</v>
      </c>
      <c r="J5" s="32" t="n">
        <v>80</v>
      </c>
      <c r="K5" s="32">
        <f>I5-J5</f>
        <v/>
      </c>
      <c r="L5" s="30" t="inlineStr">
        <is>
          <t>Successful</t>
        </is>
      </c>
      <c r="M5" s="31" t="inlineStr">
        <is>
          <t>None</t>
        </is>
      </c>
    </row>
    <row r="6">
      <c r="A6" s="27" t="inlineStr">
        <is>
          <t>POS-2026-0005</t>
        </is>
      </c>
      <c r="B6" s="27" t="inlineStr">
        <is>
          <t>2026-03-01 13:22:54</t>
        </is>
      </c>
      <c r="C6" s="27" t="inlineStr">
        <is>
          <t>2026-03-01</t>
        </is>
      </c>
      <c r="D6" s="28" t="inlineStr">
        <is>
          <t>Sunday</t>
        </is>
      </c>
      <c r="E6" s="27" t="n">
        <v>13</v>
      </c>
      <c r="F6" s="28" t="inlineStr">
        <is>
          <t>Cash-Out</t>
        </is>
      </c>
      <c r="G6" s="28" t="inlineStr">
        <is>
          <t>Kuda Bank</t>
        </is>
      </c>
      <c r="H6" s="29" t="n">
        <v>2000</v>
      </c>
      <c r="I6" s="29" t="n">
        <v>100</v>
      </c>
      <c r="J6" s="29" t="n">
        <v>25</v>
      </c>
      <c r="K6" s="29">
        <f>I6-J6</f>
        <v/>
      </c>
      <c r="L6" s="27" t="inlineStr">
        <is>
          <t>Successful</t>
        </is>
      </c>
      <c r="M6" s="28" t="inlineStr">
        <is>
          <t>None</t>
        </is>
      </c>
    </row>
    <row r="7">
      <c r="A7" s="30" t="inlineStr">
        <is>
          <t>POS-2026-0006</t>
        </is>
      </c>
      <c r="B7" s="30" t="inlineStr">
        <is>
          <t>2026-03-01 14:59:24</t>
        </is>
      </c>
      <c r="C7" s="30" t="inlineStr">
        <is>
          <t>2026-03-01</t>
        </is>
      </c>
      <c r="D7" s="31" t="inlineStr">
        <is>
          <t>Sunday</t>
        </is>
      </c>
      <c r="E7" s="30" t="n">
        <v>14</v>
      </c>
      <c r="F7" s="31" t="inlineStr">
        <is>
          <t>Cash-Out</t>
        </is>
      </c>
      <c r="G7" s="31" t="inlineStr">
        <is>
          <t>Kuda Bank</t>
        </is>
      </c>
      <c r="H7" s="32" t="n">
        <v>15000</v>
      </c>
      <c r="I7" s="32" t="n">
        <v>300</v>
      </c>
      <c r="J7" s="32" t="n">
        <v>80</v>
      </c>
      <c r="K7" s="32">
        <f>I7-J7</f>
        <v/>
      </c>
      <c r="L7" s="30" t="inlineStr">
        <is>
          <t>Successful</t>
        </is>
      </c>
      <c r="M7" s="31" t="inlineStr">
        <is>
          <t>None</t>
        </is>
      </c>
    </row>
    <row r="8">
      <c r="A8" s="27" t="inlineStr">
        <is>
          <t>POS-2026-0007</t>
        </is>
      </c>
      <c r="B8" s="27" t="inlineStr">
        <is>
          <t>2026-03-01 15:02:42</t>
        </is>
      </c>
      <c r="C8" s="27" t="inlineStr">
        <is>
          <t>2026-03-01</t>
        </is>
      </c>
      <c r="D8" s="28" t="inlineStr">
        <is>
          <t>Sunday</t>
        </is>
      </c>
      <c r="E8" s="27" t="n">
        <v>15</v>
      </c>
      <c r="F8" s="28" t="inlineStr">
        <is>
          <t>Cash-Out</t>
        </is>
      </c>
      <c r="G8" s="28" t="inlineStr">
        <is>
          <t>Kuda Bank</t>
        </is>
      </c>
      <c r="H8" s="29" t="n">
        <v>3000</v>
      </c>
      <c r="I8" s="29" t="n">
        <v>100</v>
      </c>
      <c r="J8" s="29" t="n">
        <v>25</v>
      </c>
      <c r="K8" s="29">
        <f>I8-J8</f>
        <v/>
      </c>
      <c r="L8" s="27" t="inlineStr">
        <is>
          <t>Successful</t>
        </is>
      </c>
      <c r="M8" s="28" t="inlineStr">
        <is>
          <t>None</t>
        </is>
      </c>
    </row>
    <row r="9">
      <c r="A9" s="30" t="inlineStr">
        <is>
          <t>POS-2026-0008</t>
        </is>
      </c>
      <c r="B9" s="30" t="inlineStr">
        <is>
          <t>2026-03-02 13:29:40</t>
        </is>
      </c>
      <c r="C9" s="30" t="inlineStr">
        <is>
          <t>2026-03-02</t>
        </is>
      </c>
      <c r="D9" s="31" t="inlineStr">
        <is>
          <t>Monday</t>
        </is>
      </c>
      <c r="E9" s="30" t="n">
        <v>13</v>
      </c>
      <c r="F9" s="31" t="inlineStr">
        <is>
          <t>Bill Payment</t>
        </is>
      </c>
      <c r="G9" s="31" t="inlineStr">
        <is>
          <t>Zenith Bank</t>
        </is>
      </c>
      <c r="H9" s="32" t="n">
        <v>6000</v>
      </c>
      <c r="I9" s="32" t="n">
        <v>150</v>
      </c>
      <c r="J9" s="32" t="n">
        <v>50</v>
      </c>
      <c r="K9" s="32">
        <f>I9-J9</f>
        <v/>
      </c>
      <c r="L9" s="30" t="inlineStr">
        <is>
          <t>Successful</t>
        </is>
      </c>
      <c r="M9" s="31" t="inlineStr">
        <is>
          <t>None</t>
        </is>
      </c>
    </row>
    <row r="10">
      <c r="A10" s="27" t="inlineStr">
        <is>
          <t>POS-2026-0009</t>
        </is>
      </c>
      <c r="B10" s="27" t="inlineStr">
        <is>
          <t>2026-03-02 15:44:59</t>
        </is>
      </c>
      <c r="C10" s="27" t="inlineStr">
        <is>
          <t>2026-03-02</t>
        </is>
      </c>
      <c r="D10" s="28" t="inlineStr">
        <is>
          <t>Monday</t>
        </is>
      </c>
      <c r="E10" s="27" t="n">
        <v>15</v>
      </c>
      <c r="F10" s="28" t="inlineStr">
        <is>
          <t>Cash-In</t>
        </is>
      </c>
      <c r="G10" s="28" t="inlineStr">
        <is>
          <t>Access Bank</t>
        </is>
      </c>
      <c r="H10" s="29" t="n">
        <v>20000</v>
      </c>
      <c r="I10" s="29" t="n">
        <v>200</v>
      </c>
      <c r="J10" s="29" t="n">
        <v>50</v>
      </c>
      <c r="K10" s="29">
        <f>I10-J10</f>
        <v/>
      </c>
      <c r="L10" s="27" t="inlineStr">
        <is>
          <t>Successful</t>
        </is>
      </c>
      <c r="M10" s="28" t="inlineStr">
        <is>
          <t>None</t>
        </is>
      </c>
    </row>
    <row r="11">
      <c r="A11" s="30" t="inlineStr">
        <is>
          <t>POS-2026-0010</t>
        </is>
      </c>
      <c r="B11" s="30" t="inlineStr">
        <is>
          <t>2026-03-02 14:15:10</t>
        </is>
      </c>
      <c r="C11" s="30" t="inlineStr">
        <is>
          <t>2026-03-02</t>
        </is>
      </c>
      <c r="D11" s="31" t="inlineStr">
        <is>
          <t>Monday</t>
        </is>
      </c>
      <c r="E11" s="30" t="n">
        <v>14</v>
      </c>
      <c r="F11" s="31" t="inlineStr">
        <is>
          <t>Cash-Out</t>
        </is>
      </c>
      <c r="G11" s="31" t="inlineStr">
        <is>
          <t>Kuda Bank</t>
        </is>
      </c>
      <c r="H11" s="32" t="n">
        <v>7000</v>
      </c>
      <c r="I11" s="32" t="n">
        <v>200</v>
      </c>
      <c r="J11" s="32" t="n">
        <v>50</v>
      </c>
      <c r="K11" s="32">
        <f>I11-J11</f>
        <v/>
      </c>
      <c r="L11" s="30" t="inlineStr">
        <is>
          <t>Successful</t>
        </is>
      </c>
      <c r="M11" s="31" t="inlineStr">
        <is>
          <t>None</t>
        </is>
      </c>
    </row>
    <row r="12">
      <c r="A12" s="27" t="inlineStr">
        <is>
          <t>POS-2026-0011</t>
        </is>
      </c>
      <c r="B12" s="27" t="inlineStr">
        <is>
          <t>2026-03-02 17:49:03</t>
        </is>
      </c>
      <c r="C12" s="27" t="inlineStr">
        <is>
          <t>2026-03-02</t>
        </is>
      </c>
      <c r="D12" s="28" t="inlineStr">
        <is>
          <t>Monday</t>
        </is>
      </c>
      <c r="E12" s="27" t="n">
        <v>17</v>
      </c>
      <c r="F12" s="28" t="inlineStr">
        <is>
          <t>Cash-Out</t>
        </is>
      </c>
      <c r="G12" s="28" t="inlineStr">
        <is>
          <t>GTBank</t>
        </is>
      </c>
      <c r="H12" s="29" t="n">
        <v>15000</v>
      </c>
      <c r="I12" s="29" t="n">
        <v>300</v>
      </c>
      <c r="J12" s="29" t="n">
        <v>80</v>
      </c>
      <c r="K12" s="29">
        <f>I12-J12</f>
        <v/>
      </c>
      <c r="L12" s="27" t="inlineStr">
        <is>
          <t>Successful</t>
        </is>
      </c>
      <c r="M12" s="28" t="inlineStr">
        <is>
          <t>None</t>
        </is>
      </c>
    </row>
    <row r="13">
      <c r="A13" s="30" t="inlineStr">
        <is>
          <t>POS-2026-0012</t>
        </is>
      </c>
      <c r="B13" s="30" t="inlineStr">
        <is>
          <t>2026-03-02 08:58:36</t>
        </is>
      </c>
      <c r="C13" s="30" t="inlineStr">
        <is>
          <t>2026-03-02</t>
        </is>
      </c>
      <c r="D13" s="31" t="inlineStr">
        <is>
          <t>Monday</t>
        </is>
      </c>
      <c r="E13" s="30" t="n">
        <v>8</v>
      </c>
      <c r="F13" s="31" t="inlineStr">
        <is>
          <t>Bill Payment</t>
        </is>
      </c>
      <c r="G13" s="31" t="inlineStr">
        <is>
          <t>OPay</t>
        </is>
      </c>
      <c r="H13" s="32" t="n">
        <v>4500</v>
      </c>
      <c r="I13" s="32" t="n">
        <v>150</v>
      </c>
      <c r="J13" s="32" t="n">
        <v>50</v>
      </c>
      <c r="K13" s="32">
        <f>I13-J13</f>
        <v/>
      </c>
      <c r="L13" s="30" t="inlineStr">
        <is>
          <t>Successful</t>
        </is>
      </c>
      <c r="M13" s="31" t="inlineStr">
        <is>
          <t>None</t>
        </is>
      </c>
    </row>
    <row r="14">
      <c r="A14" s="27" t="inlineStr">
        <is>
          <t>POS-2026-0013</t>
        </is>
      </c>
      <c r="B14" s="27" t="inlineStr">
        <is>
          <t>2026-03-02 13:58:41</t>
        </is>
      </c>
      <c r="C14" s="27" t="inlineStr">
        <is>
          <t>2026-03-02</t>
        </is>
      </c>
      <c r="D14" s="28" t="inlineStr">
        <is>
          <t>Monday</t>
        </is>
      </c>
      <c r="E14" s="27" t="n">
        <v>13</v>
      </c>
      <c r="F14" s="28" t="inlineStr">
        <is>
          <t>Cash-Out</t>
        </is>
      </c>
      <c r="G14" s="28" t="inlineStr">
        <is>
          <t>Kuda Bank</t>
        </is>
      </c>
      <c r="H14" s="29" t="n">
        <v>5000</v>
      </c>
      <c r="I14" s="29" t="n">
        <v>100</v>
      </c>
      <c r="J14" s="29" t="n">
        <v>25</v>
      </c>
      <c r="K14" s="29">
        <f>I14-J14</f>
        <v/>
      </c>
      <c r="L14" s="27" t="inlineStr">
        <is>
          <t>Successful</t>
        </is>
      </c>
      <c r="M14" s="28" t="inlineStr">
        <is>
          <t>None</t>
        </is>
      </c>
    </row>
    <row r="15">
      <c r="A15" s="30" t="inlineStr">
        <is>
          <t>POS-2026-0014</t>
        </is>
      </c>
      <c r="B15" s="30" t="inlineStr">
        <is>
          <t>2026-03-02 14:16:47</t>
        </is>
      </c>
      <c r="C15" s="30" t="inlineStr">
        <is>
          <t>2026-03-02</t>
        </is>
      </c>
      <c r="D15" s="31" t="inlineStr">
        <is>
          <t>Monday</t>
        </is>
      </c>
      <c r="E15" s="30" t="n">
        <v>14</v>
      </c>
      <c r="F15" s="31" t="inlineStr">
        <is>
          <t>Cash-In</t>
        </is>
      </c>
      <c r="G15" s="31" t="inlineStr">
        <is>
          <t>Moniepoint</t>
        </is>
      </c>
      <c r="H15" s="32" t="n">
        <v>10000</v>
      </c>
      <c r="I15" s="32" t="n">
        <v>100</v>
      </c>
      <c r="J15" s="32" t="n">
        <v>30</v>
      </c>
      <c r="K15" s="32">
        <f>I15-J15</f>
        <v/>
      </c>
      <c r="L15" s="30" t="inlineStr">
        <is>
          <t>Successful</t>
        </is>
      </c>
      <c r="M15" s="31" t="inlineStr">
        <is>
          <t>None</t>
        </is>
      </c>
    </row>
    <row r="16">
      <c r="A16" s="27" t="inlineStr">
        <is>
          <t>POS-2026-0015</t>
        </is>
      </c>
      <c r="B16" s="27" t="inlineStr">
        <is>
          <t>2026-03-03 14:05:48</t>
        </is>
      </c>
      <c r="C16" s="27" t="inlineStr">
        <is>
          <t>2026-03-03</t>
        </is>
      </c>
      <c r="D16" s="28" t="inlineStr">
        <is>
          <t>Tuesday</t>
        </is>
      </c>
      <c r="E16" s="27" t="n">
        <v>14</v>
      </c>
      <c r="F16" s="28" t="inlineStr">
        <is>
          <t>Cash-Out</t>
        </is>
      </c>
      <c r="G16" s="28" t="inlineStr">
        <is>
          <t>Access Bank</t>
        </is>
      </c>
      <c r="H16" s="29" t="n">
        <v>5000</v>
      </c>
      <c r="I16" s="29" t="n">
        <v>100</v>
      </c>
      <c r="J16" s="29" t="n">
        <v>25</v>
      </c>
      <c r="K16" s="29">
        <f>I16-J16</f>
        <v/>
      </c>
      <c r="L16" s="27" t="inlineStr">
        <is>
          <t>Successful</t>
        </is>
      </c>
      <c r="M16" s="28" t="inlineStr">
        <is>
          <t>None</t>
        </is>
      </c>
    </row>
    <row r="17">
      <c r="A17" s="30" t="inlineStr">
        <is>
          <t>POS-2026-0016</t>
        </is>
      </c>
      <c r="B17" s="30" t="inlineStr">
        <is>
          <t>2026-03-03 16:27:38</t>
        </is>
      </c>
      <c r="C17" s="30" t="inlineStr">
        <is>
          <t>2026-03-03</t>
        </is>
      </c>
      <c r="D17" s="31" t="inlineStr">
        <is>
          <t>Tuesday</t>
        </is>
      </c>
      <c r="E17" s="30" t="n">
        <v>16</v>
      </c>
      <c r="F17" s="31" t="inlineStr">
        <is>
          <t>Cash-Out</t>
        </is>
      </c>
      <c r="G17" s="31" t="inlineStr">
        <is>
          <t>Moniepoint</t>
        </is>
      </c>
      <c r="H17" s="32" t="n">
        <v>25000</v>
      </c>
      <c r="I17" s="32" t="n">
        <v>300</v>
      </c>
      <c r="J17" s="32" t="n">
        <v>80</v>
      </c>
      <c r="K17" s="32">
        <f>I17-J17</f>
        <v/>
      </c>
      <c r="L17" s="30" t="inlineStr">
        <is>
          <t>Successful</t>
        </is>
      </c>
      <c r="M17" s="31" t="inlineStr">
        <is>
          <t>None</t>
        </is>
      </c>
    </row>
    <row r="18">
      <c r="A18" s="27" t="inlineStr">
        <is>
          <t>POS-2026-0017</t>
        </is>
      </c>
      <c r="B18" s="27" t="inlineStr">
        <is>
          <t>2026-03-03 20:55:00</t>
        </is>
      </c>
      <c r="C18" s="27" t="inlineStr">
        <is>
          <t>2026-03-03</t>
        </is>
      </c>
      <c r="D18" s="28" t="inlineStr">
        <is>
          <t>Tuesday</t>
        </is>
      </c>
      <c r="E18" s="27" t="n">
        <v>20</v>
      </c>
      <c r="F18" s="28" t="inlineStr">
        <is>
          <t>Cash-In</t>
        </is>
      </c>
      <c r="G18" s="28" t="inlineStr">
        <is>
          <t>Access Bank</t>
        </is>
      </c>
      <c r="H18" s="29" t="n">
        <v>40000</v>
      </c>
      <c r="I18" s="29" t="n">
        <v>200</v>
      </c>
      <c r="J18" s="29" t="n">
        <v>50</v>
      </c>
      <c r="K18" s="29">
        <f>I18-J18</f>
        <v/>
      </c>
      <c r="L18" s="27" t="inlineStr">
        <is>
          <t>Successful</t>
        </is>
      </c>
      <c r="M18" s="28" t="inlineStr">
        <is>
          <t>None</t>
        </is>
      </c>
    </row>
    <row r="19">
      <c r="A19" s="30" t="inlineStr">
        <is>
          <t>POS-2026-0018</t>
        </is>
      </c>
      <c r="B19" s="30" t="inlineStr">
        <is>
          <t>2026-03-03 16:49:41</t>
        </is>
      </c>
      <c r="C19" s="30" t="inlineStr">
        <is>
          <t>2026-03-03</t>
        </is>
      </c>
      <c r="D19" s="31" t="inlineStr">
        <is>
          <t>Tuesday</t>
        </is>
      </c>
      <c r="E19" s="30" t="n">
        <v>16</v>
      </c>
      <c r="F19" s="31" t="inlineStr">
        <is>
          <t>Cash-Out</t>
        </is>
      </c>
      <c r="G19" s="31" t="inlineStr">
        <is>
          <t>Kuda Bank</t>
        </is>
      </c>
      <c r="H19" s="32" t="n">
        <v>20000</v>
      </c>
      <c r="I19" s="32" t="n">
        <v>300</v>
      </c>
      <c r="J19" s="32" t="n">
        <v>80</v>
      </c>
      <c r="K19" s="32">
        <f>I19-J19</f>
        <v/>
      </c>
      <c r="L19" s="30" t="inlineStr">
        <is>
          <t>Successful</t>
        </is>
      </c>
      <c r="M19" s="31" t="inlineStr">
        <is>
          <t>None</t>
        </is>
      </c>
    </row>
    <row r="20">
      <c r="A20" s="27" t="inlineStr">
        <is>
          <t>POS-2026-0019</t>
        </is>
      </c>
      <c r="B20" s="27" t="inlineStr">
        <is>
          <t>2026-03-03 06:46:56</t>
        </is>
      </c>
      <c r="C20" s="27" t="inlineStr">
        <is>
          <t>2026-03-03</t>
        </is>
      </c>
      <c r="D20" s="28" t="inlineStr">
        <is>
          <t>Tuesday</t>
        </is>
      </c>
      <c r="E20" s="27" t="n">
        <v>6</v>
      </c>
      <c r="F20" s="28" t="inlineStr">
        <is>
          <t>Cash-In</t>
        </is>
      </c>
      <c r="G20" s="28" t="inlineStr">
        <is>
          <t>Zenith Bank</t>
        </is>
      </c>
      <c r="H20" s="29" t="n">
        <v>20000</v>
      </c>
      <c r="I20" s="29" t="n">
        <v>0</v>
      </c>
      <c r="J20" s="29" t="n">
        <v>0</v>
      </c>
      <c r="K20" s="29">
        <f>I20-J20</f>
        <v/>
      </c>
      <c r="L20" s="27" t="inlineStr">
        <is>
          <t>Failed</t>
        </is>
      </c>
      <c r="M20" s="28" t="inlineStr">
        <is>
          <t>Insufficient Agent Float</t>
        </is>
      </c>
    </row>
    <row r="21">
      <c r="A21" s="30" t="inlineStr">
        <is>
          <t>POS-2026-0020</t>
        </is>
      </c>
      <c r="B21" s="30" t="inlineStr">
        <is>
          <t>2026-03-03 17:32:38</t>
        </is>
      </c>
      <c r="C21" s="30" t="inlineStr">
        <is>
          <t>2026-03-03</t>
        </is>
      </c>
      <c r="D21" s="31" t="inlineStr">
        <is>
          <t>Tuesday</t>
        </is>
      </c>
      <c r="E21" s="30" t="n">
        <v>17</v>
      </c>
      <c r="F21" s="31" t="inlineStr">
        <is>
          <t>Cash-Out</t>
        </is>
      </c>
      <c r="G21" s="31" t="inlineStr">
        <is>
          <t>OPay</t>
        </is>
      </c>
      <c r="H21" s="32" t="n">
        <v>5000</v>
      </c>
      <c r="I21" s="32" t="n">
        <v>100</v>
      </c>
      <c r="J21" s="32" t="n">
        <v>25</v>
      </c>
      <c r="K21" s="32">
        <f>I21-J21</f>
        <v/>
      </c>
      <c r="L21" s="30" t="inlineStr">
        <is>
          <t>Successful</t>
        </is>
      </c>
      <c r="M21" s="31" t="inlineStr">
        <is>
          <t>None</t>
        </is>
      </c>
    </row>
    <row r="22">
      <c r="A22" s="27" t="inlineStr">
        <is>
          <t>POS-2026-0021</t>
        </is>
      </c>
      <c r="B22" s="27" t="inlineStr">
        <is>
          <t>2026-03-03 16:33:58</t>
        </is>
      </c>
      <c r="C22" s="27" t="inlineStr">
        <is>
          <t>2026-03-03</t>
        </is>
      </c>
      <c r="D22" s="28" t="inlineStr">
        <is>
          <t>Tuesday</t>
        </is>
      </c>
      <c r="E22" s="27" t="n">
        <v>16</v>
      </c>
      <c r="F22" s="28" t="inlineStr">
        <is>
          <t>Cash-Out</t>
        </is>
      </c>
      <c r="G22" s="28" t="inlineStr">
        <is>
          <t>OPay</t>
        </is>
      </c>
      <c r="H22" s="29" t="n">
        <v>25000</v>
      </c>
      <c r="I22" s="29" t="n">
        <v>300</v>
      </c>
      <c r="J22" s="29" t="n">
        <v>80</v>
      </c>
      <c r="K22" s="29">
        <f>I22-J22</f>
        <v/>
      </c>
      <c r="L22" s="27" t="inlineStr">
        <is>
          <t>Successful</t>
        </is>
      </c>
      <c r="M22" s="28" t="inlineStr">
        <is>
          <t>None</t>
        </is>
      </c>
    </row>
    <row r="23">
      <c r="A23" s="30" t="inlineStr">
        <is>
          <t>POS-2026-0022</t>
        </is>
      </c>
      <c r="B23" s="30" t="inlineStr">
        <is>
          <t>2026-03-03 19:56:53</t>
        </is>
      </c>
      <c r="C23" s="30" t="inlineStr">
        <is>
          <t>2026-03-03</t>
        </is>
      </c>
      <c r="D23" s="31" t="inlineStr">
        <is>
          <t>Tuesday</t>
        </is>
      </c>
      <c r="E23" s="30" t="n">
        <v>19</v>
      </c>
      <c r="F23" s="31" t="inlineStr">
        <is>
          <t>Bill Payment</t>
        </is>
      </c>
      <c r="G23" s="31" t="inlineStr">
        <is>
          <t>First Bank</t>
        </is>
      </c>
      <c r="H23" s="32" t="n">
        <v>2000</v>
      </c>
      <c r="I23" s="32" t="n">
        <v>150</v>
      </c>
      <c r="J23" s="32" t="n">
        <v>50</v>
      </c>
      <c r="K23" s="32">
        <f>I23-J23</f>
        <v/>
      </c>
      <c r="L23" s="30" t="inlineStr">
        <is>
          <t>Successful</t>
        </is>
      </c>
      <c r="M23" s="31" t="inlineStr">
        <is>
          <t>None</t>
        </is>
      </c>
    </row>
    <row r="24">
      <c r="A24" s="27" t="inlineStr">
        <is>
          <t>POS-2026-0023</t>
        </is>
      </c>
      <c r="B24" s="27" t="inlineStr">
        <is>
          <t>2026-03-04 09:31:52</t>
        </is>
      </c>
      <c r="C24" s="27" t="inlineStr">
        <is>
          <t>2026-03-04</t>
        </is>
      </c>
      <c r="D24" s="28" t="inlineStr">
        <is>
          <t>Wednesday</t>
        </is>
      </c>
      <c r="E24" s="27" t="n">
        <v>9</v>
      </c>
      <c r="F24" s="28" t="inlineStr">
        <is>
          <t>Cash-Out</t>
        </is>
      </c>
      <c r="G24" s="28" t="inlineStr">
        <is>
          <t>Zenith Bank</t>
        </is>
      </c>
      <c r="H24" s="29" t="n">
        <v>5000</v>
      </c>
      <c r="I24" s="29" t="n">
        <v>100</v>
      </c>
      <c r="J24" s="29" t="n">
        <v>25</v>
      </c>
      <c r="K24" s="29">
        <f>I24-J24</f>
        <v/>
      </c>
      <c r="L24" s="27" t="inlineStr">
        <is>
          <t>Successful</t>
        </is>
      </c>
      <c r="M24" s="28" t="inlineStr">
        <is>
          <t>None</t>
        </is>
      </c>
    </row>
    <row r="25">
      <c r="A25" s="30" t="inlineStr">
        <is>
          <t>POS-2026-0024</t>
        </is>
      </c>
      <c r="B25" s="30" t="inlineStr">
        <is>
          <t>2026-03-04 19:10:16</t>
        </is>
      </c>
      <c r="C25" s="30" t="inlineStr">
        <is>
          <t>2026-03-04</t>
        </is>
      </c>
      <c r="D25" s="31" t="inlineStr">
        <is>
          <t>Wednesday</t>
        </is>
      </c>
      <c r="E25" s="30" t="n">
        <v>19</v>
      </c>
      <c r="F25" s="31" t="inlineStr">
        <is>
          <t>Cash-Out</t>
        </is>
      </c>
      <c r="G25" s="31" t="inlineStr">
        <is>
          <t>Moniepoint</t>
        </is>
      </c>
      <c r="H25" s="32" t="n">
        <v>7000</v>
      </c>
      <c r="I25" s="32" t="n">
        <v>0</v>
      </c>
      <c r="J25" s="32" t="n">
        <v>0</v>
      </c>
      <c r="K25" s="32">
        <f>I25-J25</f>
        <v/>
      </c>
      <c r="L25" s="30" t="inlineStr">
        <is>
          <t>Failed</t>
        </is>
      </c>
      <c r="M25" s="31" t="inlineStr">
        <is>
          <t>Issuer Bank Down</t>
        </is>
      </c>
    </row>
    <row r="26">
      <c r="A26" s="27" t="inlineStr">
        <is>
          <t>POS-2026-0025</t>
        </is>
      </c>
      <c r="B26" s="27" t="inlineStr">
        <is>
          <t>2026-03-04 16:25:42</t>
        </is>
      </c>
      <c r="C26" s="27" t="inlineStr">
        <is>
          <t>2026-03-04</t>
        </is>
      </c>
      <c r="D26" s="28" t="inlineStr">
        <is>
          <t>Wednesday</t>
        </is>
      </c>
      <c r="E26" s="27" t="n">
        <v>16</v>
      </c>
      <c r="F26" s="28" t="inlineStr">
        <is>
          <t>Cash-In</t>
        </is>
      </c>
      <c r="G26" s="28" t="inlineStr">
        <is>
          <t>UBA</t>
        </is>
      </c>
      <c r="H26" s="29" t="n">
        <v>20000</v>
      </c>
      <c r="I26" s="29" t="n">
        <v>200</v>
      </c>
      <c r="J26" s="29" t="n">
        <v>50</v>
      </c>
      <c r="K26" s="29">
        <f>I26-J26</f>
        <v/>
      </c>
      <c r="L26" s="27" t="inlineStr">
        <is>
          <t>Successful</t>
        </is>
      </c>
      <c r="M26" s="28" t="inlineStr">
        <is>
          <t>None</t>
        </is>
      </c>
    </row>
    <row r="27">
      <c r="A27" s="30" t="inlineStr">
        <is>
          <t>POS-2026-0026</t>
        </is>
      </c>
      <c r="B27" s="30" t="inlineStr">
        <is>
          <t>2026-03-04 11:04:21</t>
        </is>
      </c>
      <c r="C27" s="30" t="inlineStr">
        <is>
          <t>2026-03-04</t>
        </is>
      </c>
      <c r="D27" s="31" t="inlineStr">
        <is>
          <t>Wednesday</t>
        </is>
      </c>
      <c r="E27" s="30" t="n">
        <v>11</v>
      </c>
      <c r="F27" s="31" t="inlineStr">
        <is>
          <t>Cash-Out</t>
        </is>
      </c>
      <c r="G27" s="31" t="inlineStr">
        <is>
          <t>First Bank</t>
        </is>
      </c>
      <c r="H27" s="32" t="n">
        <v>7000</v>
      </c>
      <c r="I27" s="32" t="n">
        <v>200</v>
      </c>
      <c r="J27" s="32" t="n">
        <v>50</v>
      </c>
      <c r="K27" s="32">
        <f>I27-J27</f>
        <v/>
      </c>
      <c r="L27" s="30" t="inlineStr">
        <is>
          <t>Successful</t>
        </is>
      </c>
      <c r="M27" s="31" t="inlineStr">
        <is>
          <t>None</t>
        </is>
      </c>
    </row>
    <row r="28">
      <c r="A28" s="27" t="inlineStr">
        <is>
          <t>POS-2026-0027</t>
        </is>
      </c>
      <c r="B28" s="27" t="inlineStr">
        <is>
          <t>2026-03-04 15:03:14</t>
        </is>
      </c>
      <c r="C28" s="27" t="inlineStr">
        <is>
          <t>2026-03-04</t>
        </is>
      </c>
      <c r="D28" s="28" t="inlineStr">
        <is>
          <t>Wednesday</t>
        </is>
      </c>
      <c r="E28" s="27" t="n">
        <v>15</v>
      </c>
      <c r="F28" s="28" t="inlineStr">
        <is>
          <t>Cash-Out</t>
        </is>
      </c>
      <c r="G28" s="28" t="inlineStr">
        <is>
          <t>GTBank</t>
        </is>
      </c>
      <c r="H28" s="29" t="n">
        <v>15000</v>
      </c>
      <c r="I28" s="29" t="n">
        <v>300</v>
      </c>
      <c r="J28" s="29" t="n">
        <v>80</v>
      </c>
      <c r="K28" s="29">
        <f>I28-J28</f>
        <v/>
      </c>
      <c r="L28" s="27" t="inlineStr">
        <is>
          <t>Successful</t>
        </is>
      </c>
      <c r="M28" s="28" t="inlineStr">
        <is>
          <t>None</t>
        </is>
      </c>
    </row>
    <row r="29">
      <c r="A29" s="30" t="inlineStr">
        <is>
          <t>POS-2026-0028</t>
        </is>
      </c>
      <c r="B29" s="30" t="inlineStr">
        <is>
          <t>2026-03-04 11:42:31</t>
        </is>
      </c>
      <c r="C29" s="30" t="inlineStr">
        <is>
          <t>2026-03-04</t>
        </is>
      </c>
      <c r="D29" s="31" t="inlineStr">
        <is>
          <t>Wednesday</t>
        </is>
      </c>
      <c r="E29" s="30" t="n">
        <v>11</v>
      </c>
      <c r="F29" s="31" t="inlineStr">
        <is>
          <t>Cash-Out</t>
        </is>
      </c>
      <c r="G29" s="31" t="inlineStr">
        <is>
          <t>Zenith Bank</t>
        </is>
      </c>
      <c r="H29" s="32" t="n">
        <v>25000</v>
      </c>
      <c r="I29" s="32" t="n">
        <v>300</v>
      </c>
      <c r="J29" s="32" t="n">
        <v>80</v>
      </c>
      <c r="K29" s="32">
        <f>I29-J29</f>
        <v/>
      </c>
      <c r="L29" s="30" t="inlineStr">
        <is>
          <t>Successful</t>
        </is>
      </c>
      <c r="M29" s="31" t="inlineStr">
        <is>
          <t>None</t>
        </is>
      </c>
    </row>
    <row r="30">
      <c r="A30" s="27" t="inlineStr">
        <is>
          <t>POS-2026-0029</t>
        </is>
      </c>
      <c r="B30" s="27" t="inlineStr">
        <is>
          <t>2026-03-04 13:26:12</t>
        </is>
      </c>
      <c r="C30" s="27" t="inlineStr">
        <is>
          <t>2026-03-04</t>
        </is>
      </c>
      <c r="D30" s="28" t="inlineStr">
        <is>
          <t>Wednesday</t>
        </is>
      </c>
      <c r="E30" s="27" t="n">
        <v>13</v>
      </c>
      <c r="F30" s="28" t="inlineStr">
        <is>
          <t>Cash-Out</t>
        </is>
      </c>
      <c r="G30" s="28" t="inlineStr">
        <is>
          <t>Moniepoint</t>
        </is>
      </c>
      <c r="H30" s="29" t="n">
        <v>15000</v>
      </c>
      <c r="I30" s="29" t="n">
        <v>300</v>
      </c>
      <c r="J30" s="29" t="n">
        <v>80</v>
      </c>
      <c r="K30" s="29">
        <f>I30-J30</f>
        <v/>
      </c>
      <c r="L30" s="27" t="inlineStr">
        <is>
          <t>Successful</t>
        </is>
      </c>
      <c r="M30" s="28" t="inlineStr">
        <is>
          <t>None</t>
        </is>
      </c>
    </row>
    <row r="31">
      <c r="A31" s="30" t="inlineStr">
        <is>
          <t>POS-2026-0030</t>
        </is>
      </c>
      <c r="B31" s="30" t="inlineStr">
        <is>
          <t>2026-03-05 18:03:43</t>
        </is>
      </c>
      <c r="C31" s="30" t="inlineStr">
        <is>
          <t>2026-03-05</t>
        </is>
      </c>
      <c r="D31" s="31" t="inlineStr">
        <is>
          <t>Thursday</t>
        </is>
      </c>
      <c r="E31" s="30" t="n">
        <v>18</v>
      </c>
      <c r="F31" s="31" t="inlineStr">
        <is>
          <t>Cash-In</t>
        </is>
      </c>
      <c r="G31" s="31" t="inlineStr">
        <is>
          <t>Access Bank</t>
        </is>
      </c>
      <c r="H31" s="32" t="n">
        <v>3000</v>
      </c>
      <c r="I31" s="32" t="n">
        <v>100</v>
      </c>
      <c r="J31" s="32" t="n">
        <v>30</v>
      </c>
      <c r="K31" s="32">
        <f>I31-J31</f>
        <v/>
      </c>
      <c r="L31" s="30" t="inlineStr">
        <is>
          <t>Successful</t>
        </is>
      </c>
      <c r="M31" s="31" t="inlineStr">
        <is>
          <t>None</t>
        </is>
      </c>
    </row>
    <row r="32">
      <c r="A32" s="27" t="inlineStr">
        <is>
          <t>POS-2026-0031</t>
        </is>
      </c>
      <c r="B32" s="27" t="inlineStr">
        <is>
          <t>2026-03-05 12:55:06</t>
        </is>
      </c>
      <c r="C32" s="27" t="inlineStr">
        <is>
          <t>2026-03-05</t>
        </is>
      </c>
      <c r="D32" s="28" t="inlineStr">
        <is>
          <t>Thursday</t>
        </is>
      </c>
      <c r="E32" s="27" t="n">
        <v>12</v>
      </c>
      <c r="F32" s="28" t="inlineStr">
        <is>
          <t>Cash-Out</t>
        </is>
      </c>
      <c r="G32" s="28" t="inlineStr">
        <is>
          <t>First Bank</t>
        </is>
      </c>
      <c r="H32" s="29" t="n">
        <v>25000</v>
      </c>
      <c r="I32" s="29" t="n">
        <v>300</v>
      </c>
      <c r="J32" s="29" t="n">
        <v>80</v>
      </c>
      <c r="K32" s="29">
        <f>I32-J32</f>
        <v/>
      </c>
      <c r="L32" s="27" t="inlineStr">
        <is>
          <t>Successful</t>
        </is>
      </c>
      <c r="M32" s="28" t="inlineStr">
        <is>
          <t>None</t>
        </is>
      </c>
    </row>
    <row r="33">
      <c r="A33" s="30" t="inlineStr">
        <is>
          <t>POS-2026-0032</t>
        </is>
      </c>
      <c r="B33" s="30" t="inlineStr">
        <is>
          <t>2026-03-05 10:29:15</t>
        </is>
      </c>
      <c r="C33" s="30" t="inlineStr">
        <is>
          <t>2026-03-05</t>
        </is>
      </c>
      <c r="D33" s="31" t="inlineStr">
        <is>
          <t>Thursday</t>
        </is>
      </c>
      <c r="E33" s="30" t="n">
        <v>10</v>
      </c>
      <c r="F33" s="31" t="inlineStr">
        <is>
          <t>Bill Payment</t>
        </is>
      </c>
      <c r="G33" s="31" t="inlineStr">
        <is>
          <t>Access Bank</t>
        </is>
      </c>
      <c r="H33" s="32" t="n">
        <v>11000</v>
      </c>
      <c r="I33" s="32" t="n">
        <v>150</v>
      </c>
      <c r="J33" s="32" t="n">
        <v>50</v>
      </c>
      <c r="K33" s="32">
        <f>I33-J33</f>
        <v/>
      </c>
      <c r="L33" s="30" t="inlineStr">
        <is>
          <t>Successful</t>
        </is>
      </c>
      <c r="M33" s="31" t="inlineStr">
        <is>
          <t>None</t>
        </is>
      </c>
    </row>
    <row r="34">
      <c r="A34" s="27" t="inlineStr">
        <is>
          <t>POS-2026-0033</t>
        </is>
      </c>
      <c r="B34" s="27" t="inlineStr">
        <is>
          <t>2026-03-05 17:06:03</t>
        </is>
      </c>
      <c r="C34" s="27" t="inlineStr">
        <is>
          <t>2026-03-05</t>
        </is>
      </c>
      <c r="D34" s="28" t="inlineStr">
        <is>
          <t>Thursday</t>
        </is>
      </c>
      <c r="E34" s="27" t="n">
        <v>17</v>
      </c>
      <c r="F34" s="28" t="inlineStr">
        <is>
          <t>Cash-In</t>
        </is>
      </c>
      <c r="G34" s="28" t="inlineStr">
        <is>
          <t>GTBank</t>
        </is>
      </c>
      <c r="H34" s="29" t="n">
        <v>3000</v>
      </c>
      <c r="I34" s="29" t="n">
        <v>0</v>
      </c>
      <c r="J34" s="29" t="n">
        <v>0</v>
      </c>
      <c r="K34" s="29">
        <f>I34-J34</f>
        <v/>
      </c>
      <c r="L34" s="27" t="inlineStr">
        <is>
          <t>Failed</t>
        </is>
      </c>
      <c r="M34" s="28" t="inlineStr">
        <is>
          <t>Issuer Bank Down</t>
        </is>
      </c>
    </row>
    <row r="35">
      <c r="A35" s="30" t="inlineStr">
        <is>
          <t>POS-2026-0034</t>
        </is>
      </c>
      <c r="B35" s="30" t="inlineStr">
        <is>
          <t>2026-03-05 10:31:30</t>
        </is>
      </c>
      <c r="C35" s="30" t="inlineStr">
        <is>
          <t>2026-03-05</t>
        </is>
      </c>
      <c r="D35" s="31" t="inlineStr">
        <is>
          <t>Thursday</t>
        </is>
      </c>
      <c r="E35" s="30" t="n">
        <v>10</v>
      </c>
      <c r="F35" s="31" t="inlineStr">
        <is>
          <t>Cash-Out</t>
        </is>
      </c>
      <c r="G35" s="31" t="inlineStr">
        <is>
          <t>Moniepoint</t>
        </is>
      </c>
      <c r="H35" s="32" t="n">
        <v>2000</v>
      </c>
      <c r="I35" s="32" t="n">
        <v>100</v>
      </c>
      <c r="J35" s="32" t="n">
        <v>25</v>
      </c>
      <c r="K35" s="32">
        <f>I35-J35</f>
        <v/>
      </c>
      <c r="L35" s="30" t="inlineStr">
        <is>
          <t>Successful</t>
        </is>
      </c>
      <c r="M35" s="31" t="inlineStr">
        <is>
          <t>None</t>
        </is>
      </c>
    </row>
    <row r="36">
      <c r="A36" s="27" t="inlineStr">
        <is>
          <t>POS-2026-0035</t>
        </is>
      </c>
      <c r="B36" s="27" t="inlineStr">
        <is>
          <t>2026-03-05 06:24:16</t>
        </is>
      </c>
      <c r="C36" s="27" t="inlineStr">
        <is>
          <t>2026-03-05</t>
        </is>
      </c>
      <c r="D36" s="28" t="inlineStr">
        <is>
          <t>Thursday</t>
        </is>
      </c>
      <c r="E36" s="27" t="n">
        <v>6</v>
      </c>
      <c r="F36" s="28" t="inlineStr">
        <is>
          <t>Airtime</t>
        </is>
      </c>
      <c r="G36" s="28" t="inlineStr">
        <is>
          <t>UBA</t>
        </is>
      </c>
      <c r="H36" s="29" t="n">
        <v>2000</v>
      </c>
      <c r="I36" s="29" t="n">
        <v>40</v>
      </c>
      <c r="J36" s="29" t="n">
        <v>10</v>
      </c>
      <c r="K36" s="29">
        <f>I36-J36</f>
        <v/>
      </c>
      <c r="L36" s="27" t="inlineStr">
        <is>
          <t>Successful</t>
        </is>
      </c>
      <c r="M36" s="28" t="inlineStr">
        <is>
          <t>None</t>
        </is>
      </c>
    </row>
    <row r="37">
      <c r="A37" s="30" t="inlineStr">
        <is>
          <t>POS-2026-0036</t>
        </is>
      </c>
      <c r="B37" s="30" t="inlineStr">
        <is>
          <t>2026-03-05 20:50:35</t>
        </is>
      </c>
      <c r="C37" s="30" t="inlineStr">
        <is>
          <t>2026-03-05</t>
        </is>
      </c>
      <c r="D37" s="31" t="inlineStr">
        <is>
          <t>Thursday</t>
        </is>
      </c>
      <c r="E37" s="30" t="n">
        <v>20</v>
      </c>
      <c r="F37" s="31" t="inlineStr">
        <is>
          <t>Cash-In</t>
        </is>
      </c>
      <c r="G37" s="31" t="inlineStr">
        <is>
          <t>UBA</t>
        </is>
      </c>
      <c r="H37" s="32" t="n">
        <v>5000</v>
      </c>
      <c r="I37" s="32" t="n">
        <v>100</v>
      </c>
      <c r="J37" s="32" t="n">
        <v>30</v>
      </c>
      <c r="K37" s="32">
        <f>I37-J37</f>
        <v/>
      </c>
      <c r="L37" s="30" t="inlineStr">
        <is>
          <t>Successful</t>
        </is>
      </c>
      <c r="M37" s="31" t="inlineStr">
        <is>
          <t>None</t>
        </is>
      </c>
    </row>
    <row r="38">
      <c r="A38" s="27" t="inlineStr">
        <is>
          <t>POS-2026-0037</t>
        </is>
      </c>
      <c r="B38" s="27" t="inlineStr">
        <is>
          <t>2026-03-05 11:03:37</t>
        </is>
      </c>
      <c r="C38" s="27" t="inlineStr">
        <is>
          <t>2026-03-05</t>
        </is>
      </c>
      <c r="D38" s="28" t="inlineStr">
        <is>
          <t>Thursday</t>
        </is>
      </c>
      <c r="E38" s="27" t="n">
        <v>11</v>
      </c>
      <c r="F38" s="28" t="inlineStr">
        <is>
          <t>Cash-In</t>
        </is>
      </c>
      <c r="G38" s="28" t="inlineStr">
        <is>
          <t>GTBank</t>
        </is>
      </c>
      <c r="H38" s="29" t="n">
        <v>40000</v>
      </c>
      <c r="I38" s="29" t="n">
        <v>200</v>
      </c>
      <c r="J38" s="29" t="n">
        <v>50</v>
      </c>
      <c r="K38" s="29">
        <f>I38-J38</f>
        <v/>
      </c>
      <c r="L38" s="27" t="inlineStr">
        <is>
          <t>Successful</t>
        </is>
      </c>
      <c r="M38" s="28" t="inlineStr">
        <is>
          <t>None</t>
        </is>
      </c>
    </row>
    <row r="39">
      <c r="A39" s="30" t="inlineStr">
        <is>
          <t>POS-2026-0038</t>
        </is>
      </c>
      <c r="B39" s="30" t="inlineStr">
        <is>
          <t>2026-03-05 08:30:32</t>
        </is>
      </c>
      <c r="C39" s="30" t="inlineStr">
        <is>
          <t>2026-03-05</t>
        </is>
      </c>
      <c r="D39" s="31" t="inlineStr">
        <is>
          <t>Thursday</t>
        </is>
      </c>
      <c r="E39" s="30" t="n">
        <v>8</v>
      </c>
      <c r="F39" s="31" t="inlineStr">
        <is>
          <t>Bill Payment</t>
        </is>
      </c>
      <c r="G39" s="31" t="inlineStr">
        <is>
          <t>Zenith Bank</t>
        </is>
      </c>
      <c r="H39" s="32" t="n">
        <v>2000</v>
      </c>
      <c r="I39" s="32" t="n">
        <v>0</v>
      </c>
      <c r="J39" s="32" t="n">
        <v>0</v>
      </c>
      <c r="K39" s="32">
        <f>I39-J39</f>
        <v/>
      </c>
      <c r="L39" s="30" t="inlineStr">
        <is>
          <t>Failed</t>
        </is>
      </c>
      <c r="M39" s="31" t="inlineStr">
        <is>
          <t>Network Timeout</t>
        </is>
      </c>
    </row>
    <row r="40">
      <c r="A40" s="27" t="inlineStr">
        <is>
          <t>POS-2026-0039</t>
        </is>
      </c>
      <c r="B40" s="27" t="inlineStr">
        <is>
          <t>2026-03-05 17:04:38</t>
        </is>
      </c>
      <c r="C40" s="27" t="inlineStr">
        <is>
          <t>2026-03-05</t>
        </is>
      </c>
      <c r="D40" s="28" t="inlineStr">
        <is>
          <t>Thursday</t>
        </is>
      </c>
      <c r="E40" s="27" t="n">
        <v>17</v>
      </c>
      <c r="F40" s="28" t="inlineStr">
        <is>
          <t>Cash-Out</t>
        </is>
      </c>
      <c r="G40" s="28" t="inlineStr">
        <is>
          <t>First Bank</t>
        </is>
      </c>
      <c r="H40" s="29" t="n">
        <v>20000</v>
      </c>
      <c r="I40" s="29" t="n">
        <v>300</v>
      </c>
      <c r="J40" s="29" t="n">
        <v>80</v>
      </c>
      <c r="K40" s="29">
        <f>I40-J40</f>
        <v/>
      </c>
      <c r="L40" s="27" t="inlineStr">
        <is>
          <t>Successful</t>
        </is>
      </c>
      <c r="M40" s="28" t="inlineStr">
        <is>
          <t>None</t>
        </is>
      </c>
    </row>
    <row r="41">
      <c r="A41" s="30" t="inlineStr">
        <is>
          <t>POS-2026-0040</t>
        </is>
      </c>
      <c r="B41" s="30" t="inlineStr">
        <is>
          <t>2026-03-06 14:02:39</t>
        </is>
      </c>
      <c r="C41" s="30" t="inlineStr">
        <is>
          <t>2026-03-06</t>
        </is>
      </c>
      <c r="D41" s="31" t="inlineStr">
        <is>
          <t>Friday</t>
        </is>
      </c>
      <c r="E41" s="30" t="n">
        <v>14</v>
      </c>
      <c r="F41" s="31" t="inlineStr">
        <is>
          <t>Cash-Out</t>
        </is>
      </c>
      <c r="G41" s="31" t="inlineStr">
        <is>
          <t>OPay</t>
        </is>
      </c>
      <c r="H41" s="32" t="n">
        <v>10000</v>
      </c>
      <c r="I41" s="32" t="n">
        <v>200</v>
      </c>
      <c r="J41" s="32" t="n">
        <v>50</v>
      </c>
      <c r="K41" s="32">
        <f>I41-J41</f>
        <v/>
      </c>
      <c r="L41" s="30" t="inlineStr">
        <is>
          <t>Successful</t>
        </is>
      </c>
      <c r="M41" s="31" t="inlineStr">
        <is>
          <t>None</t>
        </is>
      </c>
    </row>
    <row r="42">
      <c r="A42" s="27" t="inlineStr">
        <is>
          <t>POS-2026-0041</t>
        </is>
      </c>
      <c r="B42" s="27" t="inlineStr">
        <is>
          <t>2026-03-06 16:15:16</t>
        </is>
      </c>
      <c r="C42" s="27" t="inlineStr">
        <is>
          <t>2026-03-06</t>
        </is>
      </c>
      <c r="D42" s="28" t="inlineStr">
        <is>
          <t>Friday</t>
        </is>
      </c>
      <c r="E42" s="27" t="n">
        <v>16</v>
      </c>
      <c r="F42" s="28" t="inlineStr">
        <is>
          <t>Cash-Out</t>
        </is>
      </c>
      <c r="G42" s="28" t="inlineStr">
        <is>
          <t>Kuda Bank</t>
        </is>
      </c>
      <c r="H42" s="29" t="n">
        <v>25000</v>
      </c>
      <c r="I42" s="29" t="n">
        <v>300</v>
      </c>
      <c r="J42" s="29" t="n">
        <v>80</v>
      </c>
      <c r="K42" s="29">
        <f>I42-J42</f>
        <v/>
      </c>
      <c r="L42" s="27" t="inlineStr">
        <is>
          <t>Successful</t>
        </is>
      </c>
      <c r="M42" s="28" t="inlineStr">
        <is>
          <t>None</t>
        </is>
      </c>
    </row>
    <row r="43">
      <c r="A43" s="30" t="inlineStr">
        <is>
          <t>POS-2026-0042</t>
        </is>
      </c>
      <c r="B43" s="30" t="inlineStr">
        <is>
          <t>2026-03-06 16:04:00</t>
        </is>
      </c>
      <c r="C43" s="30" t="inlineStr">
        <is>
          <t>2026-03-06</t>
        </is>
      </c>
      <c r="D43" s="31" t="inlineStr">
        <is>
          <t>Friday</t>
        </is>
      </c>
      <c r="E43" s="30" t="n">
        <v>16</v>
      </c>
      <c r="F43" s="31" t="inlineStr">
        <is>
          <t>Cash-Out</t>
        </is>
      </c>
      <c r="G43" s="31" t="inlineStr">
        <is>
          <t>Access Bank</t>
        </is>
      </c>
      <c r="H43" s="32" t="n">
        <v>3000</v>
      </c>
      <c r="I43" s="32" t="n">
        <v>100</v>
      </c>
      <c r="J43" s="32" t="n">
        <v>25</v>
      </c>
      <c r="K43" s="32">
        <f>I43-J43</f>
        <v/>
      </c>
      <c r="L43" s="30" t="inlineStr">
        <is>
          <t>Successful</t>
        </is>
      </c>
      <c r="M43" s="31" t="inlineStr">
        <is>
          <t>None</t>
        </is>
      </c>
    </row>
    <row r="44">
      <c r="A44" s="27" t="inlineStr">
        <is>
          <t>POS-2026-0043</t>
        </is>
      </c>
      <c r="B44" s="27" t="inlineStr">
        <is>
          <t>2026-03-06 14:08:59</t>
        </is>
      </c>
      <c r="C44" s="27" t="inlineStr">
        <is>
          <t>2026-03-06</t>
        </is>
      </c>
      <c r="D44" s="28" t="inlineStr">
        <is>
          <t>Friday</t>
        </is>
      </c>
      <c r="E44" s="27" t="n">
        <v>14</v>
      </c>
      <c r="F44" s="28" t="inlineStr">
        <is>
          <t>Cash-Out</t>
        </is>
      </c>
      <c r="G44" s="28" t="inlineStr">
        <is>
          <t>Access Bank</t>
        </is>
      </c>
      <c r="H44" s="29" t="n">
        <v>7000</v>
      </c>
      <c r="I44" s="29" t="n">
        <v>200</v>
      </c>
      <c r="J44" s="29" t="n">
        <v>50</v>
      </c>
      <c r="K44" s="29">
        <f>I44-J44</f>
        <v/>
      </c>
      <c r="L44" s="27" t="inlineStr">
        <is>
          <t>Successful</t>
        </is>
      </c>
      <c r="M44" s="28" t="inlineStr">
        <is>
          <t>None</t>
        </is>
      </c>
    </row>
    <row r="45">
      <c r="A45" s="30" t="inlineStr">
        <is>
          <t>POS-2026-0044</t>
        </is>
      </c>
      <c r="B45" s="30" t="inlineStr">
        <is>
          <t>2026-03-06 10:53:34</t>
        </is>
      </c>
      <c r="C45" s="30" t="inlineStr">
        <is>
          <t>2026-03-06</t>
        </is>
      </c>
      <c r="D45" s="31" t="inlineStr">
        <is>
          <t>Friday</t>
        </is>
      </c>
      <c r="E45" s="30" t="n">
        <v>10</v>
      </c>
      <c r="F45" s="31" t="inlineStr">
        <is>
          <t>Cash-In</t>
        </is>
      </c>
      <c r="G45" s="31" t="inlineStr">
        <is>
          <t>GTBank</t>
        </is>
      </c>
      <c r="H45" s="32" t="n">
        <v>40000</v>
      </c>
      <c r="I45" s="32" t="n">
        <v>200</v>
      </c>
      <c r="J45" s="32" t="n">
        <v>50</v>
      </c>
      <c r="K45" s="32">
        <f>I45-J45</f>
        <v/>
      </c>
      <c r="L45" s="30" t="inlineStr">
        <is>
          <t>Successful</t>
        </is>
      </c>
      <c r="M45" s="31" t="inlineStr">
        <is>
          <t>None</t>
        </is>
      </c>
    </row>
    <row r="46">
      <c r="A46" s="27" t="inlineStr">
        <is>
          <t>POS-2026-0045</t>
        </is>
      </c>
      <c r="B46" s="27" t="inlineStr">
        <is>
          <t>2026-03-06 12:42:06</t>
        </is>
      </c>
      <c r="C46" s="27" t="inlineStr">
        <is>
          <t>2026-03-06</t>
        </is>
      </c>
      <c r="D46" s="28" t="inlineStr">
        <is>
          <t>Friday</t>
        </is>
      </c>
      <c r="E46" s="27" t="n">
        <v>12</v>
      </c>
      <c r="F46" s="28" t="inlineStr">
        <is>
          <t>Airtime</t>
        </is>
      </c>
      <c r="G46" s="28" t="inlineStr">
        <is>
          <t>Zenith Bank</t>
        </is>
      </c>
      <c r="H46" s="29" t="n">
        <v>2000</v>
      </c>
      <c r="I46" s="29" t="n">
        <v>40</v>
      </c>
      <c r="J46" s="29" t="n">
        <v>10</v>
      </c>
      <c r="K46" s="29">
        <f>I46-J46</f>
        <v/>
      </c>
      <c r="L46" s="27" t="inlineStr">
        <is>
          <t>Successful</t>
        </is>
      </c>
      <c r="M46" s="28" t="inlineStr">
        <is>
          <t>None</t>
        </is>
      </c>
    </row>
    <row r="47">
      <c r="A47" s="30" t="inlineStr">
        <is>
          <t>POS-2026-0046</t>
        </is>
      </c>
      <c r="B47" s="30" t="inlineStr">
        <is>
          <t>2026-03-06 09:35:09</t>
        </is>
      </c>
      <c r="C47" s="30" t="inlineStr">
        <is>
          <t>2026-03-06</t>
        </is>
      </c>
      <c r="D47" s="31" t="inlineStr">
        <is>
          <t>Friday</t>
        </is>
      </c>
      <c r="E47" s="30" t="n">
        <v>9</v>
      </c>
      <c r="F47" s="31" t="inlineStr">
        <is>
          <t>Cash-Out</t>
        </is>
      </c>
      <c r="G47" s="31" t="inlineStr">
        <is>
          <t>First Bank</t>
        </is>
      </c>
      <c r="H47" s="32" t="n">
        <v>15000</v>
      </c>
      <c r="I47" s="32" t="n">
        <v>300</v>
      </c>
      <c r="J47" s="32" t="n">
        <v>80</v>
      </c>
      <c r="K47" s="32">
        <f>I47-J47</f>
        <v/>
      </c>
      <c r="L47" s="30" t="inlineStr">
        <is>
          <t>Successful</t>
        </is>
      </c>
      <c r="M47" s="31" t="inlineStr">
        <is>
          <t>None</t>
        </is>
      </c>
    </row>
    <row r="48">
      <c r="A48" s="27" t="inlineStr">
        <is>
          <t>POS-2026-0047</t>
        </is>
      </c>
      <c r="B48" s="27" t="inlineStr">
        <is>
          <t>2026-03-06 15:16:32</t>
        </is>
      </c>
      <c r="C48" s="27" t="inlineStr">
        <is>
          <t>2026-03-06</t>
        </is>
      </c>
      <c r="D48" s="28" t="inlineStr">
        <is>
          <t>Friday</t>
        </is>
      </c>
      <c r="E48" s="27" t="n">
        <v>15</v>
      </c>
      <c r="F48" s="28" t="inlineStr">
        <is>
          <t>Cash-Out</t>
        </is>
      </c>
      <c r="G48" s="28" t="inlineStr">
        <is>
          <t>GTBank</t>
        </is>
      </c>
      <c r="H48" s="29" t="n">
        <v>3000</v>
      </c>
      <c r="I48" s="29" t="n">
        <v>100</v>
      </c>
      <c r="J48" s="29" t="n">
        <v>25</v>
      </c>
      <c r="K48" s="29">
        <f>I48-J48</f>
        <v/>
      </c>
      <c r="L48" s="27" t="inlineStr">
        <is>
          <t>Successful</t>
        </is>
      </c>
      <c r="M48" s="28" t="inlineStr">
        <is>
          <t>None</t>
        </is>
      </c>
    </row>
    <row r="49">
      <c r="A49" s="30" t="inlineStr">
        <is>
          <t>POS-2026-0048</t>
        </is>
      </c>
      <c r="B49" s="30" t="inlineStr">
        <is>
          <t>2026-03-07 08:21:49</t>
        </is>
      </c>
      <c r="C49" s="30" t="inlineStr">
        <is>
          <t>2026-03-07</t>
        </is>
      </c>
      <c r="D49" s="31" t="inlineStr">
        <is>
          <t>Saturday</t>
        </is>
      </c>
      <c r="E49" s="30" t="n">
        <v>8</v>
      </c>
      <c r="F49" s="31" t="inlineStr">
        <is>
          <t>Cash-Out</t>
        </is>
      </c>
      <c r="G49" s="31" t="inlineStr">
        <is>
          <t>Kuda Bank</t>
        </is>
      </c>
      <c r="H49" s="32" t="n">
        <v>5000</v>
      </c>
      <c r="I49" s="32" t="n">
        <v>100</v>
      </c>
      <c r="J49" s="32" t="n">
        <v>25</v>
      </c>
      <c r="K49" s="32">
        <f>I49-J49</f>
        <v/>
      </c>
      <c r="L49" s="30" t="inlineStr">
        <is>
          <t>Successful</t>
        </is>
      </c>
      <c r="M49" s="31" t="inlineStr">
        <is>
          <t>None</t>
        </is>
      </c>
    </row>
    <row r="50">
      <c r="A50" s="27" t="inlineStr">
        <is>
          <t>POS-2026-0049</t>
        </is>
      </c>
      <c r="B50" s="27" t="inlineStr">
        <is>
          <t>2026-03-07 14:27:35</t>
        </is>
      </c>
      <c r="C50" s="27" t="inlineStr">
        <is>
          <t>2026-03-07</t>
        </is>
      </c>
      <c r="D50" s="28" t="inlineStr">
        <is>
          <t>Saturday</t>
        </is>
      </c>
      <c r="E50" s="27" t="n">
        <v>14</v>
      </c>
      <c r="F50" s="28" t="inlineStr">
        <is>
          <t>Cash-Out</t>
        </is>
      </c>
      <c r="G50" s="28" t="inlineStr">
        <is>
          <t>Access Bank</t>
        </is>
      </c>
      <c r="H50" s="29" t="n">
        <v>5000</v>
      </c>
      <c r="I50" s="29" t="n">
        <v>100</v>
      </c>
      <c r="J50" s="29" t="n">
        <v>25</v>
      </c>
      <c r="K50" s="29">
        <f>I50-J50</f>
        <v/>
      </c>
      <c r="L50" s="27" t="inlineStr">
        <is>
          <t>Successful</t>
        </is>
      </c>
      <c r="M50" s="28" t="inlineStr">
        <is>
          <t>None</t>
        </is>
      </c>
    </row>
    <row r="51">
      <c r="A51" s="30" t="inlineStr">
        <is>
          <t>POS-2026-0050</t>
        </is>
      </c>
      <c r="B51" s="30" t="inlineStr">
        <is>
          <t>2026-03-07 17:37:35</t>
        </is>
      </c>
      <c r="C51" s="30" t="inlineStr">
        <is>
          <t>2026-03-07</t>
        </is>
      </c>
      <c r="D51" s="31" t="inlineStr">
        <is>
          <t>Saturday</t>
        </is>
      </c>
      <c r="E51" s="30" t="n">
        <v>17</v>
      </c>
      <c r="F51" s="31" t="inlineStr">
        <is>
          <t>Cash-Out</t>
        </is>
      </c>
      <c r="G51" s="31" t="inlineStr">
        <is>
          <t>Zenith Bank</t>
        </is>
      </c>
      <c r="H51" s="32" t="n">
        <v>2000</v>
      </c>
      <c r="I51" s="32" t="n">
        <v>100</v>
      </c>
      <c r="J51" s="32" t="n">
        <v>25</v>
      </c>
      <c r="K51" s="32">
        <f>I51-J51</f>
        <v/>
      </c>
      <c r="L51" s="30" t="inlineStr">
        <is>
          <t>Successful</t>
        </is>
      </c>
      <c r="M51" s="31" t="inlineStr">
        <is>
          <t>None</t>
        </is>
      </c>
    </row>
    <row r="52">
      <c r="A52" s="27" t="inlineStr">
        <is>
          <t>POS-2026-0051</t>
        </is>
      </c>
      <c r="B52" s="27" t="inlineStr">
        <is>
          <t>2026-03-07 18:50:55</t>
        </is>
      </c>
      <c r="C52" s="27" t="inlineStr">
        <is>
          <t>2026-03-07</t>
        </is>
      </c>
      <c r="D52" s="28" t="inlineStr">
        <is>
          <t>Saturday</t>
        </is>
      </c>
      <c r="E52" s="27" t="n">
        <v>18</v>
      </c>
      <c r="F52" s="28" t="inlineStr">
        <is>
          <t>Cash-Out</t>
        </is>
      </c>
      <c r="G52" s="28" t="inlineStr">
        <is>
          <t>OPay</t>
        </is>
      </c>
      <c r="H52" s="29" t="n">
        <v>7000</v>
      </c>
      <c r="I52" s="29" t="n">
        <v>200</v>
      </c>
      <c r="J52" s="29" t="n">
        <v>50</v>
      </c>
      <c r="K52" s="29">
        <f>I52-J52</f>
        <v/>
      </c>
      <c r="L52" s="27" t="inlineStr">
        <is>
          <t>Successful</t>
        </is>
      </c>
      <c r="M52" s="28" t="inlineStr">
        <is>
          <t>None</t>
        </is>
      </c>
    </row>
    <row r="53">
      <c r="A53" s="30" t="inlineStr">
        <is>
          <t>POS-2026-0052</t>
        </is>
      </c>
      <c r="B53" s="30" t="inlineStr">
        <is>
          <t>2026-03-07 15:22:49</t>
        </is>
      </c>
      <c r="C53" s="30" t="inlineStr">
        <is>
          <t>2026-03-07</t>
        </is>
      </c>
      <c r="D53" s="31" t="inlineStr">
        <is>
          <t>Saturday</t>
        </is>
      </c>
      <c r="E53" s="30" t="n">
        <v>15</v>
      </c>
      <c r="F53" s="31" t="inlineStr">
        <is>
          <t>Cash-In</t>
        </is>
      </c>
      <c r="G53" s="31" t="inlineStr">
        <is>
          <t>Moniepoint</t>
        </is>
      </c>
      <c r="H53" s="32" t="n">
        <v>20000</v>
      </c>
      <c r="I53" s="32" t="n">
        <v>200</v>
      </c>
      <c r="J53" s="32" t="n">
        <v>50</v>
      </c>
      <c r="K53" s="32">
        <f>I53-J53</f>
        <v/>
      </c>
      <c r="L53" s="30" t="inlineStr">
        <is>
          <t>Successful</t>
        </is>
      </c>
      <c r="M53" s="31" t="inlineStr">
        <is>
          <t>None</t>
        </is>
      </c>
    </row>
    <row r="54">
      <c r="A54" s="27" t="inlineStr">
        <is>
          <t>POS-2026-0053</t>
        </is>
      </c>
      <c r="B54" s="27" t="inlineStr">
        <is>
          <t>2026-03-07 19:15:55</t>
        </is>
      </c>
      <c r="C54" s="27" t="inlineStr">
        <is>
          <t>2026-03-07</t>
        </is>
      </c>
      <c r="D54" s="28" t="inlineStr">
        <is>
          <t>Saturday</t>
        </is>
      </c>
      <c r="E54" s="27" t="n">
        <v>19</v>
      </c>
      <c r="F54" s="28" t="inlineStr">
        <is>
          <t>Cash-Out</t>
        </is>
      </c>
      <c r="G54" s="28" t="inlineStr">
        <is>
          <t>Zenith Bank</t>
        </is>
      </c>
      <c r="H54" s="29" t="n">
        <v>20000</v>
      </c>
      <c r="I54" s="29" t="n">
        <v>300</v>
      </c>
      <c r="J54" s="29" t="n">
        <v>80</v>
      </c>
      <c r="K54" s="29">
        <f>I54-J54</f>
        <v/>
      </c>
      <c r="L54" s="27" t="inlineStr">
        <is>
          <t>Successful</t>
        </is>
      </c>
      <c r="M54" s="28" t="inlineStr">
        <is>
          <t>None</t>
        </is>
      </c>
    </row>
    <row r="55">
      <c r="A55" s="30" t="inlineStr">
        <is>
          <t>POS-2026-0054</t>
        </is>
      </c>
      <c r="B55" s="30" t="inlineStr">
        <is>
          <t>2026-03-07 16:21:50</t>
        </is>
      </c>
      <c r="C55" s="30" t="inlineStr">
        <is>
          <t>2026-03-07</t>
        </is>
      </c>
      <c r="D55" s="31" t="inlineStr">
        <is>
          <t>Saturday</t>
        </is>
      </c>
      <c r="E55" s="30" t="n">
        <v>16</v>
      </c>
      <c r="F55" s="31" t="inlineStr">
        <is>
          <t>Airtime</t>
        </is>
      </c>
      <c r="G55" s="31" t="inlineStr">
        <is>
          <t>First Bank</t>
        </is>
      </c>
      <c r="H55" s="32" t="n">
        <v>2000</v>
      </c>
      <c r="I55" s="32" t="n">
        <v>40</v>
      </c>
      <c r="J55" s="32" t="n">
        <v>10</v>
      </c>
      <c r="K55" s="32">
        <f>I55-J55</f>
        <v/>
      </c>
      <c r="L55" s="30" t="inlineStr">
        <is>
          <t>Successful</t>
        </is>
      </c>
      <c r="M55" s="31" t="inlineStr">
        <is>
          <t>None</t>
        </is>
      </c>
    </row>
    <row r="56">
      <c r="A56" s="27" t="inlineStr">
        <is>
          <t>POS-2026-0055</t>
        </is>
      </c>
      <c r="B56" s="27" t="inlineStr">
        <is>
          <t>2026-03-07 15:24:55</t>
        </is>
      </c>
      <c r="C56" s="27" t="inlineStr">
        <is>
          <t>2026-03-07</t>
        </is>
      </c>
      <c r="D56" s="28" t="inlineStr">
        <is>
          <t>Saturday</t>
        </is>
      </c>
      <c r="E56" s="27" t="n">
        <v>15</v>
      </c>
      <c r="F56" s="28" t="inlineStr">
        <is>
          <t>Cash-Out</t>
        </is>
      </c>
      <c r="G56" s="28" t="inlineStr">
        <is>
          <t>UBA</t>
        </is>
      </c>
      <c r="H56" s="29" t="n">
        <v>7000</v>
      </c>
      <c r="I56" s="29" t="n">
        <v>200</v>
      </c>
      <c r="J56" s="29" t="n">
        <v>50</v>
      </c>
      <c r="K56" s="29">
        <f>I56-J56</f>
        <v/>
      </c>
      <c r="L56" s="27" t="inlineStr">
        <is>
          <t>Successful</t>
        </is>
      </c>
      <c r="M56" s="28" t="inlineStr">
        <is>
          <t>None</t>
        </is>
      </c>
    </row>
    <row r="57">
      <c r="A57" s="30" t="inlineStr">
        <is>
          <t>POS-2026-0056</t>
        </is>
      </c>
      <c r="B57" s="30" t="inlineStr">
        <is>
          <t>2026-03-07 19:22:19</t>
        </is>
      </c>
      <c r="C57" s="30" t="inlineStr">
        <is>
          <t>2026-03-07</t>
        </is>
      </c>
      <c r="D57" s="31" t="inlineStr">
        <is>
          <t>Saturday</t>
        </is>
      </c>
      <c r="E57" s="30" t="n">
        <v>19</v>
      </c>
      <c r="F57" s="31" t="inlineStr">
        <is>
          <t>Bill Payment</t>
        </is>
      </c>
      <c r="G57" s="31" t="inlineStr">
        <is>
          <t>First Bank</t>
        </is>
      </c>
      <c r="H57" s="32" t="n">
        <v>4500</v>
      </c>
      <c r="I57" s="32" t="n">
        <v>150</v>
      </c>
      <c r="J57" s="32" t="n">
        <v>50</v>
      </c>
      <c r="K57" s="32">
        <f>I57-J57</f>
        <v/>
      </c>
      <c r="L57" s="30" t="inlineStr">
        <is>
          <t>Successful</t>
        </is>
      </c>
      <c r="M57" s="31" t="inlineStr">
        <is>
          <t>None</t>
        </is>
      </c>
    </row>
    <row r="58">
      <c r="A58" s="27" t="inlineStr">
        <is>
          <t>POS-2026-0057</t>
        </is>
      </c>
      <c r="B58" s="27" t="inlineStr">
        <is>
          <t>2026-03-08 13:17:55</t>
        </is>
      </c>
      <c r="C58" s="27" t="inlineStr">
        <is>
          <t>2026-03-08</t>
        </is>
      </c>
      <c r="D58" s="28" t="inlineStr">
        <is>
          <t>Sunday</t>
        </is>
      </c>
      <c r="E58" s="27" t="n">
        <v>13</v>
      </c>
      <c r="F58" s="28" t="inlineStr">
        <is>
          <t>Cash-Out</t>
        </is>
      </c>
      <c r="G58" s="28" t="inlineStr">
        <is>
          <t>Kuda Bank</t>
        </is>
      </c>
      <c r="H58" s="29" t="n">
        <v>15000</v>
      </c>
      <c r="I58" s="29" t="n">
        <v>300</v>
      </c>
      <c r="J58" s="29" t="n">
        <v>80</v>
      </c>
      <c r="K58" s="29">
        <f>I58-J58</f>
        <v/>
      </c>
      <c r="L58" s="27" t="inlineStr">
        <is>
          <t>Successful</t>
        </is>
      </c>
      <c r="M58" s="28" t="inlineStr">
        <is>
          <t>None</t>
        </is>
      </c>
    </row>
    <row r="59">
      <c r="A59" s="30" t="inlineStr">
        <is>
          <t>POS-2026-0058</t>
        </is>
      </c>
      <c r="B59" s="30" t="inlineStr">
        <is>
          <t>2026-03-08 13:53:34</t>
        </is>
      </c>
      <c r="C59" s="30" t="inlineStr">
        <is>
          <t>2026-03-08</t>
        </is>
      </c>
      <c r="D59" s="31" t="inlineStr">
        <is>
          <t>Sunday</t>
        </is>
      </c>
      <c r="E59" s="30" t="n">
        <v>13</v>
      </c>
      <c r="F59" s="31" t="inlineStr">
        <is>
          <t>Cash-Out</t>
        </is>
      </c>
      <c r="G59" s="31" t="inlineStr">
        <is>
          <t>GTBank</t>
        </is>
      </c>
      <c r="H59" s="32" t="n">
        <v>3000</v>
      </c>
      <c r="I59" s="32" t="n">
        <v>100</v>
      </c>
      <c r="J59" s="32" t="n">
        <v>25</v>
      </c>
      <c r="K59" s="32">
        <f>I59-J59</f>
        <v/>
      </c>
      <c r="L59" s="30" t="inlineStr">
        <is>
          <t>Successful</t>
        </is>
      </c>
      <c r="M59" s="31" t="inlineStr">
        <is>
          <t>None</t>
        </is>
      </c>
    </row>
    <row r="60">
      <c r="A60" s="27" t="inlineStr">
        <is>
          <t>POS-2026-0059</t>
        </is>
      </c>
      <c r="B60" s="27" t="inlineStr">
        <is>
          <t>2026-03-08 11:37:16</t>
        </is>
      </c>
      <c r="C60" s="27" t="inlineStr">
        <is>
          <t>2026-03-08</t>
        </is>
      </c>
      <c r="D60" s="28" t="inlineStr">
        <is>
          <t>Sunday</t>
        </is>
      </c>
      <c r="E60" s="27" t="n">
        <v>11</v>
      </c>
      <c r="F60" s="28" t="inlineStr">
        <is>
          <t>Cash-Out</t>
        </is>
      </c>
      <c r="G60" s="28" t="inlineStr">
        <is>
          <t>Moniepoint</t>
        </is>
      </c>
      <c r="H60" s="29" t="n">
        <v>15000</v>
      </c>
      <c r="I60" s="29" t="n">
        <v>300</v>
      </c>
      <c r="J60" s="29" t="n">
        <v>80</v>
      </c>
      <c r="K60" s="29">
        <f>I60-J60</f>
        <v/>
      </c>
      <c r="L60" s="27" t="inlineStr">
        <is>
          <t>Successful</t>
        </is>
      </c>
      <c r="M60" s="28" t="inlineStr">
        <is>
          <t>None</t>
        </is>
      </c>
    </row>
    <row r="61">
      <c r="A61" s="30" t="inlineStr">
        <is>
          <t>POS-2026-0060</t>
        </is>
      </c>
      <c r="B61" s="30" t="inlineStr">
        <is>
          <t>2026-03-08 12:38:32</t>
        </is>
      </c>
      <c r="C61" s="30" t="inlineStr">
        <is>
          <t>2026-03-08</t>
        </is>
      </c>
      <c r="D61" s="31" t="inlineStr">
        <is>
          <t>Sunday</t>
        </is>
      </c>
      <c r="E61" s="30" t="n">
        <v>12</v>
      </c>
      <c r="F61" s="31" t="inlineStr">
        <is>
          <t>Cash-Out</t>
        </is>
      </c>
      <c r="G61" s="31" t="inlineStr">
        <is>
          <t>First Bank</t>
        </is>
      </c>
      <c r="H61" s="32" t="n">
        <v>10000</v>
      </c>
      <c r="I61" s="32" t="n">
        <v>200</v>
      </c>
      <c r="J61" s="32" t="n">
        <v>50</v>
      </c>
      <c r="K61" s="32">
        <f>I61-J61</f>
        <v/>
      </c>
      <c r="L61" s="30" t="inlineStr">
        <is>
          <t>Successful</t>
        </is>
      </c>
      <c r="M61" s="31" t="inlineStr">
        <is>
          <t>None</t>
        </is>
      </c>
    </row>
    <row r="62">
      <c r="A62" s="27" t="inlineStr">
        <is>
          <t>POS-2026-0061</t>
        </is>
      </c>
      <c r="B62" s="27" t="inlineStr">
        <is>
          <t>2026-03-08 13:33:59</t>
        </is>
      </c>
      <c r="C62" s="27" t="inlineStr">
        <is>
          <t>2026-03-08</t>
        </is>
      </c>
      <c r="D62" s="28" t="inlineStr">
        <is>
          <t>Sunday</t>
        </is>
      </c>
      <c r="E62" s="27" t="n">
        <v>13</v>
      </c>
      <c r="F62" s="28" t="inlineStr">
        <is>
          <t>Bill Payment</t>
        </is>
      </c>
      <c r="G62" s="28" t="inlineStr">
        <is>
          <t>First Bank</t>
        </is>
      </c>
      <c r="H62" s="29" t="n">
        <v>6000</v>
      </c>
      <c r="I62" s="29" t="n">
        <v>150</v>
      </c>
      <c r="J62" s="29" t="n">
        <v>50</v>
      </c>
      <c r="K62" s="29">
        <f>I62-J62</f>
        <v/>
      </c>
      <c r="L62" s="27" t="inlineStr">
        <is>
          <t>Successful</t>
        </is>
      </c>
      <c r="M62" s="28" t="inlineStr">
        <is>
          <t>None</t>
        </is>
      </c>
    </row>
    <row r="63">
      <c r="A63" s="30" t="inlineStr">
        <is>
          <t>POS-2026-0062</t>
        </is>
      </c>
      <c r="B63" s="30" t="inlineStr">
        <is>
          <t>2026-03-08 19:58:21</t>
        </is>
      </c>
      <c r="C63" s="30" t="inlineStr">
        <is>
          <t>2026-03-08</t>
        </is>
      </c>
      <c r="D63" s="31" t="inlineStr">
        <is>
          <t>Sunday</t>
        </is>
      </c>
      <c r="E63" s="30" t="n">
        <v>19</v>
      </c>
      <c r="F63" s="31" t="inlineStr">
        <is>
          <t>Cash-In</t>
        </is>
      </c>
      <c r="G63" s="31" t="inlineStr">
        <is>
          <t>Access Bank</t>
        </is>
      </c>
      <c r="H63" s="32" t="n">
        <v>40000</v>
      </c>
      <c r="I63" s="32" t="n">
        <v>200</v>
      </c>
      <c r="J63" s="32" t="n">
        <v>50</v>
      </c>
      <c r="K63" s="32">
        <f>I63-J63</f>
        <v/>
      </c>
      <c r="L63" s="30" t="inlineStr">
        <is>
          <t>Successful</t>
        </is>
      </c>
      <c r="M63" s="31" t="inlineStr">
        <is>
          <t>None</t>
        </is>
      </c>
    </row>
    <row r="64">
      <c r="A64" s="27" t="inlineStr">
        <is>
          <t>POS-2026-0063</t>
        </is>
      </c>
      <c r="B64" s="27" t="inlineStr">
        <is>
          <t>2026-03-08 14:42:26</t>
        </is>
      </c>
      <c r="C64" s="27" t="inlineStr">
        <is>
          <t>2026-03-08</t>
        </is>
      </c>
      <c r="D64" s="28" t="inlineStr">
        <is>
          <t>Sunday</t>
        </is>
      </c>
      <c r="E64" s="27" t="n">
        <v>14</v>
      </c>
      <c r="F64" s="28" t="inlineStr">
        <is>
          <t>Cash-Out</t>
        </is>
      </c>
      <c r="G64" s="28" t="inlineStr">
        <is>
          <t>Kuda Bank</t>
        </is>
      </c>
      <c r="H64" s="29" t="n">
        <v>5000</v>
      </c>
      <c r="I64" s="29" t="n">
        <v>100</v>
      </c>
      <c r="J64" s="29" t="n">
        <v>25</v>
      </c>
      <c r="K64" s="29">
        <f>I64-J64</f>
        <v/>
      </c>
      <c r="L64" s="27" t="inlineStr">
        <is>
          <t>Successful</t>
        </is>
      </c>
      <c r="M64" s="28" t="inlineStr">
        <is>
          <t>None</t>
        </is>
      </c>
    </row>
    <row r="65">
      <c r="A65" s="30" t="inlineStr">
        <is>
          <t>POS-2026-0064</t>
        </is>
      </c>
      <c r="B65" s="30" t="inlineStr">
        <is>
          <t>2026-03-08 15:24:43</t>
        </is>
      </c>
      <c r="C65" s="30" t="inlineStr">
        <is>
          <t>2026-03-08</t>
        </is>
      </c>
      <c r="D65" s="31" t="inlineStr">
        <is>
          <t>Sunday</t>
        </is>
      </c>
      <c r="E65" s="30" t="n">
        <v>15</v>
      </c>
      <c r="F65" s="31" t="inlineStr">
        <is>
          <t>Cash-In</t>
        </is>
      </c>
      <c r="G65" s="31" t="inlineStr">
        <is>
          <t>Zenith Bank</t>
        </is>
      </c>
      <c r="H65" s="32" t="n">
        <v>20000</v>
      </c>
      <c r="I65" s="32" t="n">
        <v>200</v>
      </c>
      <c r="J65" s="32" t="n">
        <v>50</v>
      </c>
      <c r="K65" s="32">
        <f>I65-J65</f>
        <v/>
      </c>
      <c r="L65" s="30" t="inlineStr">
        <is>
          <t>Successful</t>
        </is>
      </c>
      <c r="M65" s="31" t="inlineStr">
        <is>
          <t>None</t>
        </is>
      </c>
    </row>
    <row r="66">
      <c r="A66" s="27" t="inlineStr">
        <is>
          <t>POS-2026-0065</t>
        </is>
      </c>
      <c r="B66" s="27" t="inlineStr">
        <is>
          <t>2026-03-09 14:00:19</t>
        </is>
      </c>
      <c r="C66" s="27" t="inlineStr">
        <is>
          <t>2026-03-09</t>
        </is>
      </c>
      <c r="D66" s="28" t="inlineStr">
        <is>
          <t>Monday</t>
        </is>
      </c>
      <c r="E66" s="27" t="n">
        <v>14</v>
      </c>
      <c r="F66" s="28" t="inlineStr">
        <is>
          <t>Cash-Out</t>
        </is>
      </c>
      <c r="G66" s="28" t="inlineStr">
        <is>
          <t>Moniepoint</t>
        </is>
      </c>
      <c r="H66" s="29" t="n">
        <v>15000</v>
      </c>
      <c r="I66" s="29" t="n">
        <v>300</v>
      </c>
      <c r="J66" s="29" t="n">
        <v>80</v>
      </c>
      <c r="K66" s="29">
        <f>I66-J66</f>
        <v/>
      </c>
      <c r="L66" s="27" t="inlineStr">
        <is>
          <t>Successful</t>
        </is>
      </c>
      <c r="M66" s="28" t="inlineStr">
        <is>
          <t>None</t>
        </is>
      </c>
    </row>
    <row r="67">
      <c r="A67" s="30" t="inlineStr">
        <is>
          <t>POS-2026-0066</t>
        </is>
      </c>
      <c r="B67" s="30" t="inlineStr">
        <is>
          <t>2026-03-09 13:13:32</t>
        </is>
      </c>
      <c r="C67" s="30" t="inlineStr">
        <is>
          <t>2026-03-09</t>
        </is>
      </c>
      <c r="D67" s="31" t="inlineStr">
        <is>
          <t>Monday</t>
        </is>
      </c>
      <c r="E67" s="30" t="n">
        <v>13</v>
      </c>
      <c r="F67" s="31" t="inlineStr">
        <is>
          <t>Cash-Out</t>
        </is>
      </c>
      <c r="G67" s="31" t="inlineStr">
        <is>
          <t>Zenith Bank</t>
        </is>
      </c>
      <c r="H67" s="32" t="n">
        <v>3000</v>
      </c>
      <c r="I67" s="32" t="n">
        <v>100</v>
      </c>
      <c r="J67" s="32" t="n">
        <v>25</v>
      </c>
      <c r="K67" s="32">
        <f>I67-J67</f>
        <v/>
      </c>
      <c r="L67" s="30" t="inlineStr">
        <is>
          <t>Successful</t>
        </is>
      </c>
      <c r="M67" s="31" t="inlineStr">
        <is>
          <t>None</t>
        </is>
      </c>
    </row>
    <row r="68">
      <c r="A68" s="27" t="inlineStr">
        <is>
          <t>POS-2026-0067</t>
        </is>
      </c>
      <c r="B68" s="27" t="inlineStr">
        <is>
          <t>2026-03-09 15:39:21</t>
        </is>
      </c>
      <c r="C68" s="27" t="inlineStr">
        <is>
          <t>2026-03-09</t>
        </is>
      </c>
      <c r="D68" s="28" t="inlineStr">
        <is>
          <t>Monday</t>
        </is>
      </c>
      <c r="E68" s="27" t="n">
        <v>15</v>
      </c>
      <c r="F68" s="28" t="inlineStr">
        <is>
          <t>Cash-Out</t>
        </is>
      </c>
      <c r="G68" s="28" t="inlineStr">
        <is>
          <t>First Bank</t>
        </is>
      </c>
      <c r="H68" s="29" t="n">
        <v>10000</v>
      </c>
      <c r="I68" s="29" t="n">
        <v>200</v>
      </c>
      <c r="J68" s="29" t="n">
        <v>50</v>
      </c>
      <c r="K68" s="29">
        <f>I68-J68</f>
        <v/>
      </c>
      <c r="L68" s="27" t="inlineStr">
        <is>
          <t>Successful</t>
        </is>
      </c>
      <c r="M68" s="28" t="inlineStr">
        <is>
          <t>None</t>
        </is>
      </c>
    </row>
    <row r="69">
      <c r="A69" s="30" t="inlineStr">
        <is>
          <t>POS-2026-0068</t>
        </is>
      </c>
      <c r="B69" s="30" t="inlineStr">
        <is>
          <t>2026-03-09 11:01:02</t>
        </is>
      </c>
      <c r="C69" s="30" t="inlineStr">
        <is>
          <t>2026-03-09</t>
        </is>
      </c>
      <c r="D69" s="31" t="inlineStr">
        <is>
          <t>Monday</t>
        </is>
      </c>
      <c r="E69" s="30" t="n">
        <v>11</v>
      </c>
      <c r="F69" s="31" t="inlineStr">
        <is>
          <t>Cash-Out</t>
        </is>
      </c>
      <c r="G69" s="31" t="inlineStr">
        <is>
          <t>UBA</t>
        </is>
      </c>
      <c r="H69" s="32" t="n">
        <v>3000</v>
      </c>
      <c r="I69" s="32" t="n">
        <v>100</v>
      </c>
      <c r="J69" s="32" t="n">
        <v>25</v>
      </c>
      <c r="K69" s="32">
        <f>I69-J69</f>
        <v/>
      </c>
      <c r="L69" s="30" t="inlineStr">
        <is>
          <t>Successful</t>
        </is>
      </c>
      <c r="M69" s="31" t="inlineStr">
        <is>
          <t>None</t>
        </is>
      </c>
    </row>
    <row r="70">
      <c r="A70" s="27" t="inlineStr">
        <is>
          <t>POS-2026-0069</t>
        </is>
      </c>
      <c r="B70" s="27" t="inlineStr">
        <is>
          <t>2026-03-09 18:36:12</t>
        </is>
      </c>
      <c r="C70" s="27" t="inlineStr">
        <is>
          <t>2026-03-09</t>
        </is>
      </c>
      <c r="D70" s="28" t="inlineStr">
        <is>
          <t>Monday</t>
        </is>
      </c>
      <c r="E70" s="27" t="n">
        <v>18</v>
      </c>
      <c r="F70" s="28" t="inlineStr">
        <is>
          <t>Cash-In</t>
        </is>
      </c>
      <c r="G70" s="28" t="inlineStr">
        <is>
          <t>Moniepoint</t>
        </is>
      </c>
      <c r="H70" s="29" t="n">
        <v>15000</v>
      </c>
      <c r="I70" s="29" t="n">
        <v>200</v>
      </c>
      <c r="J70" s="29" t="n">
        <v>50</v>
      </c>
      <c r="K70" s="29">
        <f>I70-J70</f>
        <v/>
      </c>
      <c r="L70" s="27" t="inlineStr">
        <is>
          <t>Successful</t>
        </is>
      </c>
      <c r="M70" s="28" t="inlineStr">
        <is>
          <t>None</t>
        </is>
      </c>
    </row>
    <row r="71">
      <c r="A71" s="30" t="inlineStr">
        <is>
          <t>POS-2026-0070</t>
        </is>
      </c>
      <c r="B71" s="30" t="inlineStr">
        <is>
          <t>2026-03-09 10:44:00</t>
        </is>
      </c>
      <c r="C71" s="30" t="inlineStr">
        <is>
          <t>2026-03-09</t>
        </is>
      </c>
      <c r="D71" s="31" t="inlineStr">
        <is>
          <t>Monday</t>
        </is>
      </c>
      <c r="E71" s="30" t="n">
        <v>10</v>
      </c>
      <c r="F71" s="31" t="inlineStr">
        <is>
          <t>Bill Payment</t>
        </is>
      </c>
      <c r="G71" s="31" t="inlineStr">
        <is>
          <t>Access Bank</t>
        </is>
      </c>
      <c r="H71" s="32" t="n">
        <v>11000</v>
      </c>
      <c r="I71" s="32" t="n">
        <v>150</v>
      </c>
      <c r="J71" s="32" t="n">
        <v>50</v>
      </c>
      <c r="K71" s="32">
        <f>I71-J71</f>
        <v/>
      </c>
      <c r="L71" s="30" t="inlineStr">
        <is>
          <t>Successful</t>
        </is>
      </c>
      <c r="M71" s="31" t="inlineStr">
        <is>
          <t>None</t>
        </is>
      </c>
    </row>
    <row r="72">
      <c r="A72" s="27" t="inlineStr">
        <is>
          <t>POS-2026-0071</t>
        </is>
      </c>
      <c r="B72" s="27" t="inlineStr">
        <is>
          <t>2026-03-09 17:44:33</t>
        </is>
      </c>
      <c r="C72" s="27" t="inlineStr">
        <is>
          <t>2026-03-09</t>
        </is>
      </c>
      <c r="D72" s="28" t="inlineStr">
        <is>
          <t>Monday</t>
        </is>
      </c>
      <c r="E72" s="27" t="n">
        <v>17</v>
      </c>
      <c r="F72" s="28" t="inlineStr">
        <is>
          <t>Cash-Out</t>
        </is>
      </c>
      <c r="G72" s="28" t="inlineStr">
        <is>
          <t>First Bank</t>
        </is>
      </c>
      <c r="H72" s="29" t="n">
        <v>3000</v>
      </c>
      <c r="I72" s="29" t="n">
        <v>100</v>
      </c>
      <c r="J72" s="29" t="n">
        <v>25</v>
      </c>
      <c r="K72" s="29">
        <f>I72-J72</f>
        <v/>
      </c>
      <c r="L72" s="27" t="inlineStr">
        <is>
          <t>Successful</t>
        </is>
      </c>
      <c r="M72" s="28" t="inlineStr">
        <is>
          <t>None</t>
        </is>
      </c>
    </row>
    <row r="73">
      <c r="A73" s="30" t="inlineStr">
        <is>
          <t>POS-2026-0072</t>
        </is>
      </c>
      <c r="B73" s="30" t="inlineStr">
        <is>
          <t>2026-03-09 17:42:33</t>
        </is>
      </c>
      <c r="C73" s="30" t="inlineStr">
        <is>
          <t>2026-03-09</t>
        </is>
      </c>
      <c r="D73" s="31" t="inlineStr">
        <is>
          <t>Monday</t>
        </is>
      </c>
      <c r="E73" s="30" t="n">
        <v>17</v>
      </c>
      <c r="F73" s="31" t="inlineStr">
        <is>
          <t>Airtime</t>
        </is>
      </c>
      <c r="G73" s="31" t="inlineStr">
        <is>
          <t>OPay</t>
        </is>
      </c>
      <c r="H73" s="32" t="n">
        <v>3000</v>
      </c>
      <c r="I73" s="32" t="n">
        <v>60</v>
      </c>
      <c r="J73" s="32" t="n">
        <v>15</v>
      </c>
      <c r="K73" s="32">
        <f>I73-J73</f>
        <v/>
      </c>
      <c r="L73" s="30" t="inlineStr">
        <is>
          <t>Successful</t>
        </is>
      </c>
      <c r="M73" s="31" t="inlineStr">
        <is>
          <t>None</t>
        </is>
      </c>
    </row>
    <row r="74">
      <c r="A74" s="27" t="inlineStr">
        <is>
          <t>POS-2026-0073</t>
        </is>
      </c>
      <c r="B74" s="27" t="inlineStr">
        <is>
          <t>2026-03-09 16:32:27</t>
        </is>
      </c>
      <c r="C74" s="27" t="inlineStr">
        <is>
          <t>2026-03-09</t>
        </is>
      </c>
      <c r="D74" s="28" t="inlineStr">
        <is>
          <t>Monday</t>
        </is>
      </c>
      <c r="E74" s="27" t="n">
        <v>16</v>
      </c>
      <c r="F74" s="28" t="inlineStr">
        <is>
          <t>Bill Payment</t>
        </is>
      </c>
      <c r="G74" s="28" t="inlineStr">
        <is>
          <t>UBA</t>
        </is>
      </c>
      <c r="H74" s="29" t="n">
        <v>4500</v>
      </c>
      <c r="I74" s="29" t="n">
        <v>150</v>
      </c>
      <c r="J74" s="29" t="n">
        <v>50</v>
      </c>
      <c r="K74" s="29">
        <f>I74-J74</f>
        <v/>
      </c>
      <c r="L74" s="27" t="inlineStr">
        <is>
          <t>Successful</t>
        </is>
      </c>
      <c r="M74" s="28" t="inlineStr">
        <is>
          <t>None</t>
        </is>
      </c>
    </row>
    <row r="75">
      <c r="A75" s="30" t="inlineStr">
        <is>
          <t>POS-2026-0074</t>
        </is>
      </c>
      <c r="B75" s="30" t="inlineStr">
        <is>
          <t>2026-03-09 13:16:48</t>
        </is>
      </c>
      <c r="C75" s="30" t="inlineStr">
        <is>
          <t>2026-03-09</t>
        </is>
      </c>
      <c r="D75" s="31" t="inlineStr">
        <is>
          <t>Monday</t>
        </is>
      </c>
      <c r="E75" s="30" t="n">
        <v>13</v>
      </c>
      <c r="F75" s="31" t="inlineStr">
        <is>
          <t>Cash-Out</t>
        </is>
      </c>
      <c r="G75" s="31" t="inlineStr">
        <is>
          <t>Kuda Bank</t>
        </is>
      </c>
      <c r="H75" s="32" t="n">
        <v>25000</v>
      </c>
      <c r="I75" s="32" t="n">
        <v>300</v>
      </c>
      <c r="J75" s="32" t="n">
        <v>80</v>
      </c>
      <c r="K75" s="32">
        <f>I75-J75</f>
        <v/>
      </c>
      <c r="L75" s="30" t="inlineStr">
        <is>
          <t>Successful</t>
        </is>
      </c>
      <c r="M75" s="31" t="inlineStr">
        <is>
          <t>None</t>
        </is>
      </c>
    </row>
    <row r="76">
      <c r="A76" s="27" t="inlineStr">
        <is>
          <t>POS-2026-0075</t>
        </is>
      </c>
      <c r="B76" s="27" t="inlineStr">
        <is>
          <t>2026-03-10 13:45:18</t>
        </is>
      </c>
      <c r="C76" s="27" t="inlineStr">
        <is>
          <t>2026-03-10</t>
        </is>
      </c>
      <c r="D76" s="28" t="inlineStr">
        <is>
          <t>Tuesday</t>
        </is>
      </c>
      <c r="E76" s="27" t="n">
        <v>13</v>
      </c>
      <c r="F76" s="28" t="inlineStr">
        <is>
          <t>Cash-Out</t>
        </is>
      </c>
      <c r="G76" s="28" t="inlineStr">
        <is>
          <t>OPay</t>
        </is>
      </c>
      <c r="H76" s="29" t="n">
        <v>15000</v>
      </c>
      <c r="I76" s="29" t="n">
        <v>300</v>
      </c>
      <c r="J76" s="29" t="n">
        <v>80</v>
      </c>
      <c r="K76" s="29">
        <f>I76-J76</f>
        <v/>
      </c>
      <c r="L76" s="27" t="inlineStr">
        <is>
          <t>Successful</t>
        </is>
      </c>
      <c r="M76" s="28" t="inlineStr">
        <is>
          <t>None</t>
        </is>
      </c>
    </row>
    <row r="77">
      <c r="A77" s="30" t="inlineStr">
        <is>
          <t>POS-2026-0076</t>
        </is>
      </c>
      <c r="B77" s="30" t="inlineStr">
        <is>
          <t>2026-03-10 09:09:14</t>
        </is>
      </c>
      <c r="C77" s="30" t="inlineStr">
        <is>
          <t>2026-03-10</t>
        </is>
      </c>
      <c r="D77" s="31" t="inlineStr">
        <is>
          <t>Tuesday</t>
        </is>
      </c>
      <c r="E77" s="30" t="n">
        <v>9</v>
      </c>
      <c r="F77" s="31" t="inlineStr">
        <is>
          <t>Cash-Out</t>
        </is>
      </c>
      <c r="G77" s="31" t="inlineStr">
        <is>
          <t>Zenith Bank</t>
        </is>
      </c>
      <c r="H77" s="32" t="n">
        <v>7000</v>
      </c>
      <c r="I77" s="32" t="n">
        <v>200</v>
      </c>
      <c r="J77" s="32" t="n">
        <v>50</v>
      </c>
      <c r="K77" s="32">
        <f>I77-J77</f>
        <v/>
      </c>
      <c r="L77" s="30" t="inlineStr">
        <is>
          <t>Successful</t>
        </is>
      </c>
      <c r="M77" s="31" t="inlineStr">
        <is>
          <t>None</t>
        </is>
      </c>
    </row>
    <row r="78">
      <c r="A78" s="27" t="inlineStr">
        <is>
          <t>POS-2026-0077</t>
        </is>
      </c>
      <c r="B78" s="27" t="inlineStr">
        <is>
          <t>2026-03-10 13:34:29</t>
        </is>
      </c>
      <c r="C78" s="27" t="inlineStr">
        <is>
          <t>2026-03-10</t>
        </is>
      </c>
      <c r="D78" s="28" t="inlineStr">
        <is>
          <t>Tuesday</t>
        </is>
      </c>
      <c r="E78" s="27" t="n">
        <v>13</v>
      </c>
      <c r="F78" s="28" t="inlineStr">
        <is>
          <t>Cash-Out</t>
        </is>
      </c>
      <c r="G78" s="28" t="inlineStr">
        <is>
          <t>First Bank</t>
        </is>
      </c>
      <c r="H78" s="29" t="n">
        <v>20000</v>
      </c>
      <c r="I78" s="29" t="n">
        <v>300</v>
      </c>
      <c r="J78" s="29" t="n">
        <v>80</v>
      </c>
      <c r="K78" s="29">
        <f>I78-J78</f>
        <v/>
      </c>
      <c r="L78" s="27" t="inlineStr">
        <is>
          <t>Successful</t>
        </is>
      </c>
      <c r="M78" s="28" t="inlineStr">
        <is>
          <t>None</t>
        </is>
      </c>
    </row>
    <row r="79">
      <c r="A79" s="30" t="inlineStr">
        <is>
          <t>POS-2026-0078</t>
        </is>
      </c>
      <c r="B79" s="30" t="inlineStr">
        <is>
          <t>2026-03-10 16:44:01</t>
        </is>
      </c>
      <c r="C79" s="30" t="inlineStr">
        <is>
          <t>2026-03-10</t>
        </is>
      </c>
      <c r="D79" s="31" t="inlineStr">
        <is>
          <t>Tuesday</t>
        </is>
      </c>
      <c r="E79" s="30" t="n">
        <v>16</v>
      </c>
      <c r="F79" s="31" t="inlineStr">
        <is>
          <t>Bill Payment</t>
        </is>
      </c>
      <c r="G79" s="31" t="inlineStr">
        <is>
          <t>Moniepoint</t>
        </is>
      </c>
      <c r="H79" s="32" t="n">
        <v>11000</v>
      </c>
      <c r="I79" s="32" t="n">
        <v>150</v>
      </c>
      <c r="J79" s="32" t="n">
        <v>50</v>
      </c>
      <c r="K79" s="32">
        <f>I79-J79</f>
        <v/>
      </c>
      <c r="L79" s="30" t="inlineStr">
        <is>
          <t>Successful</t>
        </is>
      </c>
      <c r="M79" s="31" t="inlineStr">
        <is>
          <t>None</t>
        </is>
      </c>
    </row>
    <row r="80">
      <c r="A80" s="27" t="inlineStr">
        <is>
          <t>POS-2026-0079</t>
        </is>
      </c>
      <c r="B80" s="27" t="inlineStr">
        <is>
          <t>2026-03-10 12:48:24</t>
        </is>
      </c>
      <c r="C80" s="27" t="inlineStr">
        <is>
          <t>2026-03-10</t>
        </is>
      </c>
      <c r="D80" s="28" t="inlineStr">
        <is>
          <t>Tuesday</t>
        </is>
      </c>
      <c r="E80" s="27" t="n">
        <v>12</v>
      </c>
      <c r="F80" s="28" t="inlineStr">
        <is>
          <t>Bill Payment</t>
        </is>
      </c>
      <c r="G80" s="28" t="inlineStr">
        <is>
          <t>Moniepoint</t>
        </is>
      </c>
      <c r="H80" s="29" t="n">
        <v>15000</v>
      </c>
      <c r="I80" s="29" t="n">
        <v>150</v>
      </c>
      <c r="J80" s="29" t="n">
        <v>50</v>
      </c>
      <c r="K80" s="29">
        <f>I80-J80</f>
        <v/>
      </c>
      <c r="L80" s="27" t="inlineStr">
        <is>
          <t>Successful</t>
        </is>
      </c>
      <c r="M80" s="28" t="inlineStr">
        <is>
          <t>None</t>
        </is>
      </c>
    </row>
    <row r="81">
      <c r="A81" s="30" t="inlineStr">
        <is>
          <t>POS-2026-0080</t>
        </is>
      </c>
      <c r="B81" s="30" t="inlineStr">
        <is>
          <t>2026-03-10 14:38:57</t>
        </is>
      </c>
      <c r="C81" s="30" t="inlineStr">
        <is>
          <t>2026-03-10</t>
        </is>
      </c>
      <c r="D81" s="31" t="inlineStr">
        <is>
          <t>Tuesday</t>
        </is>
      </c>
      <c r="E81" s="30" t="n">
        <v>14</v>
      </c>
      <c r="F81" s="31" t="inlineStr">
        <is>
          <t>Cash-Out</t>
        </is>
      </c>
      <c r="G81" s="31" t="inlineStr">
        <is>
          <t>First Bank</t>
        </is>
      </c>
      <c r="H81" s="32" t="n">
        <v>10000</v>
      </c>
      <c r="I81" s="32" t="n">
        <v>200</v>
      </c>
      <c r="J81" s="32" t="n">
        <v>50</v>
      </c>
      <c r="K81" s="32">
        <f>I81-J81</f>
        <v/>
      </c>
      <c r="L81" s="30" t="inlineStr">
        <is>
          <t>Successful</t>
        </is>
      </c>
      <c r="M81" s="31" t="inlineStr">
        <is>
          <t>None</t>
        </is>
      </c>
    </row>
    <row r="82">
      <c r="A82" s="27" t="inlineStr">
        <is>
          <t>POS-2026-0081</t>
        </is>
      </c>
      <c r="B82" s="27" t="inlineStr">
        <is>
          <t>2026-03-10 07:21:42</t>
        </is>
      </c>
      <c r="C82" s="27" t="inlineStr">
        <is>
          <t>2026-03-10</t>
        </is>
      </c>
      <c r="D82" s="28" t="inlineStr">
        <is>
          <t>Tuesday</t>
        </is>
      </c>
      <c r="E82" s="27" t="n">
        <v>7</v>
      </c>
      <c r="F82" s="28" t="inlineStr">
        <is>
          <t>Cash-In</t>
        </is>
      </c>
      <c r="G82" s="28" t="inlineStr">
        <is>
          <t>Moniepoint</t>
        </is>
      </c>
      <c r="H82" s="29" t="n">
        <v>40000</v>
      </c>
      <c r="I82" s="29" t="n">
        <v>200</v>
      </c>
      <c r="J82" s="29" t="n">
        <v>50</v>
      </c>
      <c r="K82" s="29">
        <f>I82-J82</f>
        <v/>
      </c>
      <c r="L82" s="27" t="inlineStr">
        <is>
          <t>Successful</t>
        </is>
      </c>
      <c r="M82" s="28" t="inlineStr">
        <is>
          <t>None</t>
        </is>
      </c>
    </row>
    <row r="83">
      <c r="A83" s="30" t="inlineStr">
        <is>
          <t>POS-2026-0082</t>
        </is>
      </c>
      <c r="B83" s="30" t="inlineStr">
        <is>
          <t>2026-03-10 13:08:39</t>
        </is>
      </c>
      <c r="C83" s="30" t="inlineStr">
        <is>
          <t>2026-03-10</t>
        </is>
      </c>
      <c r="D83" s="31" t="inlineStr">
        <is>
          <t>Tuesday</t>
        </is>
      </c>
      <c r="E83" s="30" t="n">
        <v>13</v>
      </c>
      <c r="F83" s="31" t="inlineStr">
        <is>
          <t>Cash-Out</t>
        </is>
      </c>
      <c r="G83" s="31" t="inlineStr">
        <is>
          <t>Moniepoint</t>
        </is>
      </c>
      <c r="H83" s="32" t="n">
        <v>2000</v>
      </c>
      <c r="I83" s="32" t="n">
        <v>100</v>
      </c>
      <c r="J83" s="32" t="n">
        <v>25</v>
      </c>
      <c r="K83" s="32">
        <f>I83-J83</f>
        <v/>
      </c>
      <c r="L83" s="30" t="inlineStr">
        <is>
          <t>Successful</t>
        </is>
      </c>
      <c r="M83" s="31" t="inlineStr">
        <is>
          <t>None</t>
        </is>
      </c>
    </row>
    <row r="84">
      <c r="A84" s="27" t="inlineStr">
        <is>
          <t>POS-2026-0083</t>
        </is>
      </c>
      <c r="B84" s="27" t="inlineStr">
        <is>
          <t>2026-03-10 13:55:29</t>
        </is>
      </c>
      <c r="C84" s="27" t="inlineStr">
        <is>
          <t>2026-03-10</t>
        </is>
      </c>
      <c r="D84" s="28" t="inlineStr">
        <is>
          <t>Tuesday</t>
        </is>
      </c>
      <c r="E84" s="27" t="n">
        <v>13</v>
      </c>
      <c r="F84" s="28" t="inlineStr">
        <is>
          <t>Cash-Out</t>
        </is>
      </c>
      <c r="G84" s="28" t="inlineStr">
        <is>
          <t>Kuda Bank</t>
        </is>
      </c>
      <c r="H84" s="29" t="n">
        <v>20000</v>
      </c>
      <c r="I84" s="29" t="n">
        <v>300</v>
      </c>
      <c r="J84" s="29" t="n">
        <v>80</v>
      </c>
      <c r="K84" s="29">
        <f>I84-J84</f>
        <v/>
      </c>
      <c r="L84" s="27" t="inlineStr">
        <is>
          <t>Successful</t>
        </is>
      </c>
      <c r="M84" s="28" t="inlineStr">
        <is>
          <t>None</t>
        </is>
      </c>
    </row>
    <row r="85">
      <c r="A85" s="30" t="inlineStr">
        <is>
          <t>POS-2026-0084</t>
        </is>
      </c>
      <c r="B85" s="30" t="inlineStr">
        <is>
          <t>2026-03-11 12:48:56</t>
        </is>
      </c>
      <c r="C85" s="30" t="inlineStr">
        <is>
          <t>2026-03-11</t>
        </is>
      </c>
      <c r="D85" s="31" t="inlineStr">
        <is>
          <t>Wednesday</t>
        </is>
      </c>
      <c r="E85" s="30" t="n">
        <v>12</v>
      </c>
      <c r="F85" s="31" t="inlineStr">
        <is>
          <t>Cash-Out</t>
        </is>
      </c>
      <c r="G85" s="31" t="inlineStr">
        <is>
          <t>Moniepoint</t>
        </is>
      </c>
      <c r="H85" s="32" t="n">
        <v>10000</v>
      </c>
      <c r="I85" s="32" t="n">
        <v>200</v>
      </c>
      <c r="J85" s="32" t="n">
        <v>50</v>
      </c>
      <c r="K85" s="32">
        <f>I85-J85</f>
        <v/>
      </c>
      <c r="L85" s="30" t="inlineStr">
        <is>
          <t>Successful</t>
        </is>
      </c>
      <c r="M85" s="31" t="inlineStr">
        <is>
          <t>None</t>
        </is>
      </c>
    </row>
    <row r="86">
      <c r="A86" s="27" t="inlineStr">
        <is>
          <t>POS-2026-0085</t>
        </is>
      </c>
      <c r="B86" s="27" t="inlineStr">
        <is>
          <t>2026-03-11 13:47:34</t>
        </is>
      </c>
      <c r="C86" s="27" t="inlineStr">
        <is>
          <t>2026-03-11</t>
        </is>
      </c>
      <c r="D86" s="28" t="inlineStr">
        <is>
          <t>Wednesday</t>
        </is>
      </c>
      <c r="E86" s="27" t="n">
        <v>13</v>
      </c>
      <c r="F86" s="28" t="inlineStr">
        <is>
          <t>Cash-Out</t>
        </is>
      </c>
      <c r="G86" s="28" t="inlineStr">
        <is>
          <t>OPay</t>
        </is>
      </c>
      <c r="H86" s="29" t="n">
        <v>7000</v>
      </c>
      <c r="I86" s="29" t="n">
        <v>200</v>
      </c>
      <c r="J86" s="29" t="n">
        <v>50</v>
      </c>
      <c r="K86" s="29">
        <f>I86-J86</f>
        <v/>
      </c>
      <c r="L86" s="27" t="inlineStr">
        <is>
          <t>Successful</t>
        </is>
      </c>
      <c r="M86" s="28" t="inlineStr">
        <is>
          <t>None</t>
        </is>
      </c>
    </row>
    <row r="87">
      <c r="A87" s="30" t="inlineStr">
        <is>
          <t>POS-2026-0086</t>
        </is>
      </c>
      <c r="B87" s="30" t="inlineStr">
        <is>
          <t>2026-03-11 16:41:02</t>
        </is>
      </c>
      <c r="C87" s="30" t="inlineStr">
        <is>
          <t>2026-03-11</t>
        </is>
      </c>
      <c r="D87" s="31" t="inlineStr">
        <is>
          <t>Wednesday</t>
        </is>
      </c>
      <c r="E87" s="30" t="n">
        <v>16</v>
      </c>
      <c r="F87" s="31" t="inlineStr">
        <is>
          <t>Cash-In</t>
        </is>
      </c>
      <c r="G87" s="31" t="inlineStr">
        <is>
          <t>First Bank</t>
        </is>
      </c>
      <c r="H87" s="32" t="n">
        <v>5000</v>
      </c>
      <c r="I87" s="32" t="n">
        <v>100</v>
      </c>
      <c r="J87" s="32" t="n">
        <v>30</v>
      </c>
      <c r="K87" s="32">
        <f>I87-J87</f>
        <v/>
      </c>
      <c r="L87" s="30" t="inlineStr">
        <is>
          <t>Successful</t>
        </is>
      </c>
      <c r="M87" s="31" t="inlineStr">
        <is>
          <t>None</t>
        </is>
      </c>
    </row>
    <row r="88">
      <c r="A88" s="27" t="inlineStr">
        <is>
          <t>POS-2026-0087</t>
        </is>
      </c>
      <c r="B88" s="27" t="inlineStr">
        <is>
          <t>2026-03-11 15:15:08</t>
        </is>
      </c>
      <c r="C88" s="27" t="inlineStr">
        <is>
          <t>2026-03-11</t>
        </is>
      </c>
      <c r="D88" s="28" t="inlineStr">
        <is>
          <t>Wednesday</t>
        </is>
      </c>
      <c r="E88" s="27" t="n">
        <v>15</v>
      </c>
      <c r="F88" s="28" t="inlineStr">
        <is>
          <t>Cash-Out</t>
        </is>
      </c>
      <c r="G88" s="28" t="inlineStr">
        <is>
          <t>Access Bank</t>
        </is>
      </c>
      <c r="H88" s="29" t="n">
        <v>7000</v>
      </c>
      <c r="I88" s="29" t="n">
        <v>200</v>
      </c>
      <c r="J88" s="29" t="n">
        <v>50</v>
      </c>
      <c r="K88" s="29">
        <f>I88-J88</f>
        <v/>
      </c>
      <c r="L88" s="27" t="inlineStr">
        <is>
          <t>Successful</t>
        </is>
      </c>
      <c r="M88" s="28" t="inlineStr">
        <is>
          <t>None</t>
        </is>
      </c>
    </row>
    <row r="89">
      <c r="A89" s="30" t="inlineStr">
        <is>
          <t>POS-2026-0088</t>
        </is>
      </c>
      <c r="B89" s="30" t="inlineStr">
        <is>
          <t>2026-03-11 11:23:10</t>
        </is>
      </c>
      <c r="C89" s="30" t="inlineStr">
        <is>
          <t>2026-03-11</t>
        </is>
      </c>
      <c r="D89" s="31" t="inlineStr">
        <is>
          <t>Wednesday</t>
        </is>
      </c>
      <c r="E89" s="30" t="n">
        <v>11</v>
      </c>
      <c r="F89" s="31" t="inlineStr">
        <is>
          <t>Cash-In</t>
        </is>
      </c>
      <c r="G89" s="31" t="inlineStr">
        <is>
          <t>Access Bank</t>
        </is>
      </c>
      <c r="H89" s="32" t="n">
        <v>50000</v>
      </c>
      <c r="I89" s="32" t="n">
        <v>200</v>
      </c>
      <c r="J89" s="32" t="n">
        <v>50</v>
      </c>
      <c r="K89" s="32">
        <f>I89-J89</f>
        <v/>
      </c>
      <c r="L89" s="30" t="inlineStr">
        <is>
          <t>Successful</t>
        </is>
      </c>
      <c r="M89" s="31" t="inlineStr">
        <is>
          <t>None</t>
        </is>
      </c>
    </row>
    <row r="90">
      <c r="A90" s="27" t="inlineStr">
        <is>
          <t>POS-2026-0089</t>
        </is>
      </c>
      <c r="B90" s="27" t="inlineStr">
        <is>
          <t>2026-03-11 20:06:37</t>
        </is>
      </c>
      <c r="C90" s="27" t="inlineStr">
        <is>
          <t>2026-03-11</t>
        </is>
      </c>
      <c r="D90" s="28" t="inlineStr">
        <is>
          <t>Wednesday</t>
        </is>
      </c>
      <c r="E90" s="27" t="n">
        <v>20</v>
      </c>
      <c r="F90" s="28" t="inlineStr">
        <is>
          <t>Cash-Out</t>
        </is>
      </c>
      <c r="G90" s="28" t="inlineStr">
        <is>
          <t>Kuda Bank</t>
        </is>
      </c>
      <c r="H90" s="29" t="n">
        <v>20000</v>
      </c>
      <c r="I90" s="29" t="n">
        <v>300</v>
      </c>
      <c r="J90" s="29" t="n">
        <v>80</v>
      </c>
      <c r="K90" s="29">
        <f>I90-J90</f>
        <v/>
      </c>
      <c r="L90" s="27" t="inlineStr">
        <is>
          <t>Successful</t>
        </is>
      </c>
      <c r="M90" s="28" t="inlineStr">
        <is>
          <t>None</t>
        </is>
      </c>
    </row>
    <row r="91">
      <c r="A91" s="30" t="inlineStr">
        <is>
          <t>POS-2026-0090</t>
        </is>
      </c>
      <c r="B91" s="30" t="inlineStr">
        <is>
          <t>2026-03-11 16:04:37</t>
        </is>
      </c>
      <c r="C91" s="30" t="inlineStr">
        <is>
          <t>2026-03-11</t>
        </is>
      </c>
      <c r="D91" s="31" t="inlineStr">
        <is>
          <t>Wednesday</t>
        </is>
      </c>
      <c r="E91" s="30" t="n">
        <v>16</v>
      </c>
      <c r="F91" s="31" t="inlineStr">
        <is>
          <t>Cash-In</t>
        </is>
      </c>
      <c r="G91" s="31" t="inlineStr">
        <is>
          <t>First Bank</t>
        </is>
      </c>
      <c r="H91" s="32" t="n">
        <v>3000</v>
      </c>
      <c r="I91" s="32" t="n">
        <v>100</v>
      </c>
      <c r="J91" s="32" t="n">
        <v>30</v>
      </c>
      <c r="K91" s="32">
        <f>I91-J91</f>
        <v/>
      </c>
      <c r="L91" s="30" t="inlineStr">
        <is>
          <t>Successful</t>
        </is>
      </c>
      <c r="M91" s="31" t="inlineStr">
        <is>
          <t>None</t>
        </is>
      </c>
    </row>
    <row r="92">
      <c r="A92" s="27" t="inlineStr">
        <is>
          <t>POS-2026-0091</t>
        </is>
      </c>
      <c r="B92" s="27" t="inlineStr">
        <is>
          <t>2026-03-11 12:43:38</t>
        </is>
      </c>
      <c r="C92" s="27" t="inlineStr">
        <is>
          <t>2026-03-11</t>
        </is>
      </c>
      <c r="D92" s="28" t="inlineStr">
        <is>
          <t>Wednesday</t>
        </is>
      </c>
      <c r="E92" s="27" t="n">
        <v>12</v>
      </c>
      <c r="F92" s="28" t="inlineStr">
        <is>
          <t>Bill Payment</t>
        </is>
      </c>
      <c r="G92" s="28" t="inlineStr">
        <is>
          <t>GTBank</t>
        </is>
      </c>
      <c r="H92" s="29" t="n">
        <v>6000</v>
      </c>
      <c r="I92" s="29" t="n">
        <v>150</v>
      </c>
      <c r="J92" s="29" t="n">
        <v>50</v>
      </c>
      <c r="K92" s="29">
        <f>I92-J92</f>
        <v/>
      </c>
      <c r="L92" s="27" t="inlineStr">
        <is>
          <t>Successful</t>
        </is>
      </c>
      <c r="M92" s="28" t="inlineStr">
        <is>
          <t>None</t>
        </is>
      </c>
    </row>
    <row r="93">
      <c r="A93" s="30" t="inlineStr">
        <is>
          <t>POS-2026-0092</t>
        </is>
      </c>
      <c r="B93" s="30" t="inlineStr">
        <is>
          <t>2026-03-11 15:04:32</t>
        </is>
      </c>
      <c r="C93" s="30" t="inlineStr">
        <is>
          <t>2026-03-11</t>
        </is>
      </c>
      <c r="D93" s="31" t="inlineStr">
        <is>
          <t>Wednesday</t>
        </is>
      </c>
      <c r="E93" s="30" t="n">
        <v>15</v>
      </c>
      <c r="F93" s="31" t="inlineStr">
        <is>
          <t>Cash-In</t>
        </is>
      </c>
      <c r="G93" s="31" t="inlineStr">
        <is>
          <t>GTBank</t>
        </is>
      </c>
      <c r="H93" s="32" t="n">
        <v>50000</v>
      </c>
      <c r="I93" s="32" t="n">
        <v>200</v>
      </c>
      <c r="J93" s="32" t="n">
        <v>50</v>
      </c>
      <c r="K93" s="32">
        <f>I93-J93</f>
        <v/>
      </c>
      <c r="L93" s="30" t="inlineStr">
        <is>
          <t>Successful</t>
        </is>
      </c>
      <c r="M93" s="31" t="inlineStr">
        <is>
          <t>None</t>
        </is>
      </c>
    </row>
    <row r="94">
      <c r="A94" s="27" t="inlineStr">
        <is>
          <t>POS-2026-0093</t>
        </is>
      </c>
      <c r="B94" s="27" t="inlineStr">
        <is>
          <t>2026-03-11 13:27:23</t>
        </is>
      </c>
      <c r="C94" s="27" t="inlineStr">
        <is>
          <t>2026-03-11</t>
        </is>
      </c>
      <c r="D94" s="28" t="inlineStr">
        <is>
          <t>Wednesday</t>
        </is>
      </c>
      <c r="E94" s="27" t="n">
        <v>13</v>
      </c>
      <c r="F94" s="28" t="inlineStr">
        <is>
          <t>Cash-In</t>
        </is>
      </c>
      <c r="G94" s="28" t="inlineStr">
        <is>
          <t>UBA</t>
        </is>
      </c>
      <c r="H94" s="29" t="n">
        <v>40000</v>
      </c>
      <c r="I94" s="29" t="n">
        <v>200</v>
      </c>
      <c r="J94" s="29" t="n">
        <v>50</v>
      </c>
      <c r="K94" s="29">
        <f>I94-J94</f>
        <v/>
      </c>
      <c r="L94" s="27" t="inlineStr">
        <is>
          <t>Successful</t>
        </is>
      </c>
      <c r="M94" s="28" t="inlineStr">
        <is>
          <t>None</t>
        </is>
      </c>
    </row>
    <row r="95">
      <c r="A95" s="30" t="inlineStr">
        <is>
          <t>POS-2026-0094</t>
        </is>
      </c>
      <c r="B95" s="30" t="inlineStr">
        <is>
          <t>2026-03-12 16:41:17</t>
        </is>
      </c>
      <c r="C95" s="30" t="inlineStr">
        <is>
          <t>2026-03-12</t>
        </is>
      </c>
      <c r="D95" s="31" t="inlineStr">
        <is>
          <t>Thursday</t>
        </is>
      </c>
      <c r="E95" s="30" t="n">
        <v>16</v>
      </c>
      <c r="F95" s="31" t="inlineStr">
        <is>
          <t>Cash-In</t>
        </is>
      </c>
      <c r="G95" s="31" t="inlineStr">
        <is>
          <t>UBA</t>
        </is>
      </c>
      <c r="H95" s="32" t="n">
        <v>15000</v>
      </c>
      <c r="I95" s="32" t="n">
        <v>200</v>
      </c>
      <c r="J95" s="32" t="n">
        <v>50</v>
      </c>
      <c r="K95" s="32">
        <f>I95-J95</f>
        <v/>
      </c>
      <c r="L95" s="30" t="inlineStr">
        <is>
          <t>Successful</t>
        </is>
      </c>
      <c r="M95" s="31" t="inlineStr">
        <is>
          <t>None</t>
        </is>
      </c>
    </row>
    <row r="96">
      <c r="A96" s="27" t="inlineStr">
        <is>
          <t>POS-2026-0095</t>
        </is>
      </c>
      <c r="B96" s="27" t="inlineStr">
        <is>
          <t>2026-03-12 16:17:20</t>
        </is>
      </c>
      <c r="C96" s="27" t="inlineStr">
        <is>
          <t>2026-03-12</t>
        </is>
      </c>
      <c r="D96" s="28" t="inlineStr">
        <is>
          <t>Thursday</t>
        </is>
      </c>
      <c r="E96" s="27" t="n">
        <v>16</v>
      </c>
      <c r="F96" s="28" t="inlineStr">
        <is>
          <t>Bill Payment</t>
        </is>
      </c>
      <c r="G96" s="28" t="inlineStr">
        <is>
          <t>Access Bank</t>
        </is>
      </c>
      <c r="H96" s="29" t="n">
        <v>6000</v>
      </c>
      <c r="I96" s="29" t="n">
        <v>150</v>
      </c>
      <c r="J96" s="29" t="n">
        <v>50</v>
      </c>
      <c r="K96" s="29">
        <f>I96-J96</f>
        <v/>
      </c>
      <c r="L96" s="27" t="inlineStr">
        <is>
          <t>Successful</t>
        </is>
      </c>
      <c r="M96" s="28" t="inlineStr">
        <is>
          <t>None</t>
        </is>
      </c>
    </row>
    <row r="97">
      <c r="A97" s="30" t="inlineStr">
        <is>
          <t>POS-2026-0096</t>
        </is>
      </c>
      <c r="B97" s="30" t="inlineStr">
        <is>
          <t>2026-03-12 11:29:36</t>
        </is>
      </c>
      <c r="C97" s="30" t="inlineStr">
        <is>
          <t>2026-03-12</t>
        </is>
      </c>
      <c r="D97" s="31" t="inlineStr">
        <is>
          <t>Thursday</t>
        </is>
      </c>
      <c r="E97" s="30" t="n">
        <v>11</v>
      </c>
      <c r="F97" s="31" t="inlineStr">
        <is>
          <t>Cash-In</t>
        </is>
      </c>
      <c r="G97" s="31" t="inlineStr">
        <is>
          <t>Moniepoint</t>
        </is>
      </c>
      <c r="H97" s="32" t="n">
        <v>10000</v>
      </c>
      <c r="I97" s="32" t="n">
        <v>100</v>
      </c>
      <c r="J97" s="32" t="n">
        <v>30</v>
      </c>
      <c r="K97" s="32">
        <f>I97-J97</f>
        <v/>
      </c>
      <c r="L97" s="30" t="inlineStr">
        <is>
          <t>Successful</t>
        </is>
      </c>
      <c r="M97" s="31" t="inlineStr">
        <is>
          <t>None</t>
        </is>
      </c>
    </row>
    <row r="98">
      <c r="A98" s="27" t="inlineStr">
        <is>
          <t>POS-2026-0097</t>
        </is>
      </c>
      <c r="B98" s="27" t="inlineStr">
        <is>
          <t>2026-03-12 17:11:31</t>
        </is>
      </c>
      <c r="C98" s="27" t="inlineStr">
        <is>
          <t>2026-03-12</t>
        </is>
      </c>
      <c r="D98" s="28" t="inlineStr">
        <is>
          <t>Thursday</t>
        </is>
      </c>
      <c r="E98" s="27" t="n">
        <v>17</v>
      </c>
      <c r="F98" s="28" t="inlineStr">
        <is>
          <t>Cash-Out</t>
        </is>
      </c>
      <c r="G98" s="28" t="inlineStr">
        <is>
          <t>Kuda Bank</t>
        </is>
      </c>
      <c r="H98" s="29" t="n">
        <v>15000</v>
      </c>
      <c r="I98" s="29" t="n">
        <v>300</v>
      </c>
      <c r="J98" s="29" t="n">
        <v>80</v>
      </c>
      <c r="K98" s="29">
        <f>I98-J98</f>
        <v/>
      </c>
      <c r="L98" s="27" t="inlineStr">
        <is>
          <t>Successful</t>
        </is>
      </c>
      <c r="M98" s="28" t="inlineStr">
        <is>
          <t>None</t>
        </is>
      </c>
    </row>
    <row r="99">
      <c r="A99" s="30" t="inlineStr">
        <is>
          <t>POS-2026-0098</t>
        </is>
      </c>
      <c r="B99" s="30" t="inlineStr">
        <is>
          <t>2026-03-12 14:56:17</t>
        </is>
      </c>
      <c r="C99" s="30" t="inlineStr">
        <is>
          <t>2026-03-12</t>
        </is>
      </c>
      <c r="D99" s="31" t="inlineStr">
        <is>
          <t>Thursday</t>
        </is>
      </c>
      <c r="E99" s="30" t="n">
        <v>14</v>
      </c>
      <c r="F99" s="31" t="inlineStr">
        <is>
          <t>Cash-In</t>
        </is>
      </c>
      <c r="G99" s="31" t="inlineStr">
        <is>
          <t>First Bank</t>
        </is>
      </c>
      <c r="H99" s="32" t="n">
        <v>3000</v>
      </c>
      <c r="I99" s="32" t="n">
        <v>100</v>
      </c>
      <c r="J99" s="32" t="n">
        <v>30</v>
      </c>
      <c r="K99" s="32">
        <f>I99-J99</f>
        <v/>
      </c>
      <c r="L99" s="30" t="inlineStr">
        <is>
          <t>Successful</t>
        </is>
      </c>
      <c r="M99" s="31" t="inlineStr">
        <is>
          <t>None</t>
        </is>
      </c>
    </row>
    <row r="100">
      <c r="A100" s="27" t="inlineStr">
        <is>
          <t>POS-2026-0099</t>
        </is>
      </c>
      <c r="B100" s="27" t="inlineStr">
        <is>
          <t>2026-03-12 13:35:48</t>
        </is>
      </c>
      <c r="C100" s="27" t="inlineStr">
        <is>
          <t>2026-03-12</t>
        </is>
      </c>
      <c r="D100" s="28" t="inlineStr">
        <is>
          <t>Thursday</t>
        </is>
      </c>
      <c r="E100" s="27" t="n">
        <v>13</v>
      </c>
      <c r="F100" s="28" t="inlineStr">
        <is>
          <t>Cash-Out</t>
        </is>
      </c>
      <c r="G100" s="28" t="inlineStr">
        <is>
          <t>UBA</t>
        </is>
      </c>
      <c r="H100" s="29" t="n">
        <v>25000</v>
      </c>
      <c r="I100" s="29" t="n">
        <v>300</v>
      </c>
      <c r="J100" s="29" t="n">
        <v>80</v>
      </c>
      <c r="K100" s="29">
        <f>I100-J100</f>
        <v/>
      </c>
      <c r="L100" s="27" t="inlineStr">
        <is>
          <t>Successful</t>
        </is>
      </c>
      <c r="M100" s="28" t="inlineStr">
        <is>
          <t>None</t>
        </is>
      </c>
    </row>
    <row r="101">
      <c r="A101" s="30" t="inlineStr">
        <is>
          <t>POS-2026-0100</t>
        </is>
      </c>
      <c r="B101" s="30" t="inlineStr">
        <is>
          <t>2026-03-12 07:18:14</t>
        </is>
      </c>
      <c r="C101" s="30" t="inlineStr">
        <is>
          <t>2026-03-12</t>
        </is>
      </c>
      <c r="D101" s="31" t="inlineStr">
        <is>
          <t>Thursday</t>
        </is>
      </c>
      <c r="E101" s="30" t="n">
        <v>7</v>
      </c>
      <c r="F101" s="31" t="inlineStr">
        <is>
          <t>Cash-Out</t>
        </is>
      </c>
      <c r="G101" s="31" t="inlineStr">
        <is>
          <t>First Bank</t>
        </is>
      </c>
      <c r="H101" s="32" t="n">
        <v>10000</v>
      </c>
      <c r="I101" s="32" t="n">
        <v>200</v>
      </c>
      <c r="J101" s="32" t="n">
        <v>50</v>
      </c>
      <c r="K101" s="32">
        <f>I101-J101</f>
        <v/>
      </c>
      <c r="L101" s="30" t="inlineStr">
        <is>
          <t>Successful</t>
        </is>
      </c>
      <c r="M101" s="31" t="inlineStr">
        <is>
          <t>None</t>
        </is>
      </c>
    </row>
    <row r="102">
      <c r="A102" s="27" t="inlineStr">
        <is>
          <t>POS-2026-0101</t>
        </is>
      </c>
      <c r="B102" s="27" t="inlineStr">
        <is>
          <t>2026-03-12 12:35:33</t>
        </is>
      </c>
      <c r="C102" s="27" t="inlineStr">
        <is>
          <t>2026-03-12</t>
        </is>
      </c>
      <c r="D102" s="28" t="inlineStr">
        <is>
          <t>Thursday</t>
        </is>
      </c>
      <c r="E102" s="27" t="n">
        <v>12</v>
      </c>
      <c r="F102" s="28" t="inlineStr">
        <is>
          <t>Cash-Out</t>
        </is>
      </c>
      <c r="G102" s="28" t="inlineStr">
        <is>
          <t>OPay</t>
        </is>
      </c>
      <c r="H102" s="29" t="n">
        <v>15000</v>
      </c>
      <c r="I102" s="29" t="n">
        <v>300</v>
      </c>
      <c r="J102" s="29" t="n">
        <v>80</v>
      </c>
      <c r="K102" s="29">
        <f>I102-J102</f>
        <v/>
      </c>
      <c r="L102" s="27" t="inlineStr">
        <is>
          <t>Successful</t>
        </is>
      </c>
      <c r="M102" s="28" t="inlineStr">
        <is>
          <t>None</t>
        </is>
      </c>
    </row>
    <row r="103">
      <c r="A103" s="30" t="inlineStr">
        <is>
          <t>POS-2026-0102</t>
        </is>
      </c>
      <c r="B103" s="30" t="inlineStr">
        <is>
          <t>2026-03-13 12:14:07</t>
        </is>
      </c>
      <c r="C103" s="30" t="inlineStr">
        <is>
          <t>2026-03-13</t>
        </is>
      </c>
      <c r="D103" s="31" t="inlineStr">
        <is>
          <t>Friday</t>
        </is>
      </c>
      <c r="E103" s="30" t="n">
        <v>12</v>
      </c>
      <c r="F103" s="31" t="inlineStr">
        <is>
          <t>Cash-In</t>
        </is>
      </c>
      <c r="G103" s="31" t="inlineStr">
        <is>
          <t>OPay</t>
        </is>
      </c>
      <c r="H103" s="32" t="n">
        <v>3000</v>
      </c>
      <c r="I103" s="32" t="n">
        <v>100</v>
      </c>
      <c r="J103" s="32" t="n">
        <v>30</v>
      </c>
      <c r="K103" s="32">
        <f>I103-J103</f>
        <v/>
      </c>
      <c r="L103" s="30" t="inlineStr">
        <is>
          <t>Successful</t>
        </is>
      </c>
      <c r="M103" s="31" t="inlineStr">
        <is>
          <t>None</t>
        </is>
      </c>
    </row>
    <row r="104">
      <c r="A104" s="27" t="inlineStr">
        <is>
          <t>POS-2026-0103</t>
        </is>
      </c>
      <c r="B104" s="27" t="inlineStr">
        <is>
          <t>2026-03-13 20:44:11</t>
        </is>
      </c>
      <c r="C104" s="27" t="inlineStr">
        <is>
          <t>2026-03-13</t>
        </is>
      </c>
      <c r="D104" s="28" t="inlineStr">
        <is>
          <t>Friday</t>
        </is>
      </c>
      <c r="E104" s="27" t="n">
        <v>20</v>
      </c>
      <c r="F104" s="28" t="inlineStr">
        <is>
          <t>Cash-Out</t>
        </is>
      </c>
      <c r="G104" s="28" t="inlineStr">
        <is>
          <t>UBA</t>
        </is>
      </c>
      <c r="H104" s="29" t="n">
        <v>10000</v>
      </c>
      <c r="I104" s="29" t="n">
        <v>200</v>
      </c>
      <c r="J104" s="29" t="n">
        <v>50</v>
      </c>
      <c r="K104" s="29">
        <f>I104-J104</f>
        <v/>
      </c>
      <c r="L104" s="27" t="inlineStr">
        <is>
          <t>Successful</t>
        </is>
      </c>
      <c r="M104" s="28" t="inlineStr">
        <is>
          <t>None</t>
        </is>
      </c>
    </row>
    <row r="105">
      <c r="A105" s="30" t="inlineStr">
        <is>
          <t>POS-2026-0104</t>
        </is>
      </c>
      <c r="B105" s="30" t="inlineStr">
        <is>
          <t>2026-03-13 20:33:38</t>
        </is>
      </c>
      <c r="C105" s="30" t="inlineStr">
        <is>
          <t>2026-03-13</t>
        </is>
      </c>
      <c r="D105" s="31" t="inlineStr">
        <is>
          <t>Friday</t>
        </is>
      </c>
      <c r="E105" s="30" t="n">
        <v>20</v>
      </c>
      <c r="F105" s="31" t="inlineStr">
        <is>
          <t>Cash-Out</t>
        </is>
      </c>
      <c r="G105" s="31" t="inlineStr">
        <is>
          <t>Access Bank</t>
        </is>
      </c>
      <c r="H105" s="32" t="n">
        <v>7000</v>
      </c>
      <c r="I105" s="32" t="n">
        <v>200</v>
      </c>
      <c r="J105" s="32" t="n">
        <v>50</v>
      </c>
      <c r="K105" s="32">
        <f>I105-J105</f>
        <v/>
      </c>
      <c r="L105" s="30" t="inlineStr">
        <is>
          <t>Successful</t>
        </is>
      </c>
      <c r="M105" s="31" t="inlineStr">
        <is>
          <t>None</t>
        </is>
      </c>
    </row>
    <row r="106">
      <c r="A106" s="27" t="inlineStr">
        <is>
          <t>POS-2026-0105</t>
        </is>
      </c>
      <c r="B106" s="27" t="inlineStr">
        <is>
          <t>2026-03-13 12:19:00</t>
        </is>
      </c>
      <c r="C106" s="27" t="inlineStr">
        <is>
          <t>2026-03-13</t>
        </is>
      </c>
      <c r="D106" s="28" t="inlineStr">
        <is>
          <t>Friday</t>
        </is>
      </c>
      <c r="E106" s="27" t="n">
        <v>12</v>
      </c>
      <c r="F106" s="28" t="inlineStr">
        <is>
          <t>Cash-In</t>
        </is>
      </c>
      <c r="G106" s="28" t="inlineStr">
        <is>
          <t>Zenith Bank</t>
        </is>
      </c>
      <c r="H106" s="29" t="n">
        <v>10000</v>
      </c>
      <c r="I106" s="29" t="n">
        <v>100</v>
      </c>
      <c r="J106" s="29" t="n">
        <v>30</v>
      </c>
      <c r="K106" s="29">
        <f>I106-J106</f>
        <v/>
      </c>
      <c r="L106" s="27" t="inlineStr">
        <is>
          <t>Successful</t>
        </is>
      </c>
      <c r="M106" s="28" t="inlineStr">
        <is>
          <t>None</t>
        </is>
      </c>
    </row>
    <row r="107">
      <c r="A107" s="30" t="inlineStr">
        <is>
          <t>POS-2026-0106</t>
        </is>
      </c>
      <c r="B107" s="30" t="inlineStr">
        <is>
          <t>2026-03-13 08:18:44</t>
        </is>
      </c>
      <c r="C107" s="30" t="inlineStr">
        <is>
          <t>2026-03-13</t>
        </is>
      </c>
      <c r="D107" s="31" t="inlineStr">
        <is>
          <t>Friday</t>
        </is>
      </c>
      <c r="E107" s="30" t="n">
        <v>8</v>
      </c>
      <c r="F107" s="31" t="inlineStr">
        <is>
          <t>Airtime</t>
        </is>
      </c>
      <c r="G107" s="31" t="inlineStr">
        <is>
          <t>UBA</t>
        </is>
      </c>
      <c r="H107" s="32" t="n">
        <v>500</v>
      </c>
      <c r="I107" s="32" t="n">
        <v>10</v>
      </c>
      <c r="J107" s="32" t="n">
        <v>2</v>
      </c>
      <c r="K107" s="32">
        <f>I107-J107</f>
        <v/>
      </c>
      <c r="L107" s="30" t="inlineStr">
        <is>
          <t>Successful</t>
        </is>
      </c>
      <c r="M107" s="31" t="inlineStr">
        <is>
          <t>None</t>
        </is>
      </c>
    </row>
    <row r="108">
      <c r="A108" s="27" t="inlineStr">
        <is>
          <t>POS-2026-0107</t>
        </is>
      </c>
      <c r="B108" s="27" t="inlineStr">
        <is>
          <t>2026-03-13 14:30:30</t>
        </is>
      </c>
      <c r="C108" s="27" t="inlineStr">
        <is>
          <t>2026-03-13</t>
        </is>
      </c>
      <c r="D108" s="28" t="inlineStr">
        <is>
          <t>Friday</t>
        </is>
      </c>
      <c r="E108" s="27" t="n">
        <v>14</v>
      </c>
      <c r="F108" s="28" t="inlineStr">
        <is>
          <t>Cash-Out</t>
        </is>
      </c>
      <c r="G108" s="28" t="inlineStr">
        <is>
          <t>Zenith Bank</t>
        </is>
      </c>
      <c r="H108" s="29" t="n">
        <v>2000</v>
      </c>
      <c r="I108" s="29" t="n">
        <v>100</v>
      </c>
      <c r="J108" s="29" t="n">
        <v>25</v>
      </c>
      <c r="K108" s="29">
        <f>I108-J108</f>
        <v/>
      </c>
      <c r="L108" s="27" t="inlineStr">
        <is>
          <t>Successful</t>
        </is>
      </c>
      <c r="M108" s="28" t="inlineStr">
        <is>
          <t>None</t>
        </is>
      </c>
    </row>
    <row r="109">
      <c r="A109" s="30" t="inlineStr">
        <is>
          <t>POS-2026-0108</t>
        </is>
      </c>
      <c r="B109" s="30" t="inlineStr">
        <is>
          <t>2026-03-13 18:07:52</t>
        </is>
      </c>
      <c r="C109" s="30" t="inlineStr">
        <is>
          <t>2026-03-13</t>
        </is>
      </c>
      <c r="D109" s="31" t="inlineStr">
        <is>
          <t>Friday</t>
        </is>
      </c>
      <c r="E109" s="30" t="n">
        <v>18</v>
      </c>
      <c r="F109" s="31" t="inlineStr">
        <is>
          <t>Cash-Out</t>
        </is>
      </c>
      <c r="G109" s="31" t="inlineStr">
        <is>
          <t>UBA</t>
        </is>
      </c>
      <c r="H109" s="32" t="n">
        <v>3000</v>
      </c>
      <c r="I109" s="32" t="n">
        <v>100</v>
      </c>
      <c r="J109" s="32" t="n">
        <v>25</v>
      </c>
      <c r="K109" s="32">
        <f>I109-J109</f>
        <v/>
      </c>
      <c r="L109" s="30" t="inlineStr">
        <is>
          <t>Successful</t>
        </is>
      </c>
      <c r="M109" s="31" t="inlineStr">
        <is>
          <t>None</t>
        </is>
      </c>
    </row>
    <row r="110">
      <c r="A110" s="27" t="inlineStr">
        <is>
          <t>POS-2026-0109</t>
        </is>
      </c>
      <c r="B110" s="27" t="inlineStr">
        <is>
          <t>2026-03-13 15:09:09</t>
        </is>
      </c>
      <c r="C110" s="27" t="inlineStr">
        <is>
          <t>2026-03-13</t>
        </is>
      </c>
      <c r="D110" s="28" t="inlineStr">
        <is>
          <t>Friday</t>
        </is>
      </c>
      <c r="E110" s="27" t="n">
        <v>15</v>
      </c>
      <c r="F110" s="28" t="inlineStr">
        <is>
          <t>Bill Payment</t>
        </is>
      </c>
      <c r="G110" s="28" t="inlineStr">
        <is>
          <t>Kuda Bank</t>
        </is>
      </c>
      <c r="H110" s="29" t="n">
        <v>2000</v>
      </c>
      <c r="I110" s="29" t="n">
        <v>0</v>
      </c>
      <c r="J110" s="29" t="n">
        <v>0</v>
      </c>
      <c r="K110" s="29">
        <f>I110-J110</f>
        <v/>
      </c>
      <c r="L110" s="27" t="inlineStr">
        <is>
          <t>Failed</t>
        </is>
      </c>
      <c r="M110" s="28" t="inlineStr">
        <is>
          <t>Network Timeout</t>
        </is>
      </c>
    </row>
    <row r="111">
      <c r="A111" s="30" t="inlineStr">
        <is>
          <t>POS-2026-0110</t>
        </is>
      </c>
      <c r="B111" s="30" t="inlineStr">
        <is>
          <t>2026-03-13 14:26:38</t>
        </is>
      </c>
      <c r="C111" s="30" t="inlineStr">
        <is>
          <t>2026-03-13</t>
        </is>
      </c>
      <c r="D111" s="31" t="inlineStr">
        <is>
          <t>Friday</t>
        </is>
      </c>
      <c r="E111" s="30" t="n">
        <v>14</v>
      </c>
      <c r="F111" s="31" t="inlineStr">
        <is>
          <t>Cash-In</t>
        </is>
      </c>
      <c r="G111" s="31" t="inlineStr">
        <is>
          <t>First Bank</t>
        </is>
      </c>
      <c r="H111" s="32" t="n">
        <v>50000</v>
      </c>
      <c r="I111" s="32" t="n">
        <v>200</v>
      </c>
      <c r="J111" s="32" t="n">
        <v>50</v>
      </c>
      <c r="K111" s="32">
        <f>I111-J111</f>
        <v/>
      </c>
      <c r="L111" s="30" t="inlineStr">
        <is>
          <t>Successful</t>
        </is>
      </c>
      <c r="M111" s="31" t="inlineStr">
        <is>
          <t>None</t>
        </is>
      </c>
    </row>
    <row r="112">
      <c r="A112" s="27" t="inlineStr">
        <is>
          <t>POS-2026-0111</t>
        </is>
      </c>
      <c r="B112" s="27" t="inlineStr">
        <is>
          <t>2026-03-14 18:19:55</t>
        </is>
      </c>
      <c r="C112" s="27" t="inlineStr">
        <is>
          <t>2026-03-14</t>
        </is>
      </c>
      <c r="D112" s="28" t="inlineStr">
        <is>
          <t>Saturday</t>
        </is>
      </c>
      <c r="E112" s="27" t="n">
        <v>18</v>
      </c>
      <c r="F112" s="28" t="inlineStr">
        <is>
          <t>Cash-In</t>
        </is>
      </c>
      <c r="G112" s="28" t="inlineStr">
        <is>
          <t>Moniepoint</t>
        </is>
      </c>
      <c r="H112" s="29" t="n">
        <v>10000</v>
      </c>
      <c r="I112" s="29" t="n">
        <v>100</v>
      </c>
      <c r="J112" s="29" t="n">
        <v>30</v>
      </c>
      <c r="K112" s="29">
        <f>I112-J112</f>
        <v/>
      </c>
      <c r="L112" s="27" t="inlineStr">
        <is>
          <t>Successful</t>
        </is>
      </c>
      <c r="M112" s="28" t="inlineStr">
        <is>
          <t>None</t>
        </is>
      </c>
    </row>
    <row r="113">
      <c r="A113" s="30" t="inlineStr">
        <is>
          <t>POS-2026-0112</t>
        </is>
      </c>
      <c r="B113" s="30" t="inlineStr">
        <is>
          <t>2026-03-14 08:47:06</t>
        </is>
      </c>
      <c r="C113" s="30" t="inlineStr">
        <is>
          <t>2026-03-14</t>
        </is>
      </c>
      <c r="D113" s="31" t="inlineStr">
        <is>
          <t>Saturday</t>
        </is>
      </c>
      <c r="E113" s="30" t="n">
        <v>8</v>
      </c>
      <c r="F113" s="31" t="inlineStr">
        <is>
          <t>Airtime</t>
        </is>
      </c>
      <c r="G113" s="31" t="inlineStr">
        <is>
          <t>First Bank</t>
        </is>
      </c>
      <c r="H113" s="32" t="n">
        <v>1000</v>
      </c>
      <c r="I113" s="32" t="n">
        <v>20</v>
      </c>
      <c r="J113" s="32" t="n">
        <v>5</v>
      </c>
      <c r="K113" s="32">
        <f>I113-J113</f>
        <v/>
      </c>
      <c r="L113" s="30" t="inlineStr">
        <is>
          <t>Successful</t>
        </is>
      </c>
      <c r="M113" s="31" t="inlineStr">
        <is>
          <t>None</t>
        </is>
      </c>
    </row>
    <row r="114">
      <c r="A114" s="27" t="inlineStr">
        <is>
          <t>POS-2026-0113</t>
        </is>
      </c>
      <c r="B114" s="27" t="inlineStr">
        <is>
          <t>2026-03-14 09:15:11</t>
        </is>
      </c>
      <c r="C114" s="27" t="inlineStr">
        <is>
          <t>2026-03-14</t>
        </is>
      </c>
      <c r="D114" s="28" t="inlineStr">
        <is>
          <t>Saturday</t>
        </is>
      </c>
      <c r="E114" s="27" t="n">
        <v>9</v>
      </c>
      <c r="F114" s="28" t="inlineStr">
        <is>
          <t>Cash-In</t>
        </is>
      </c>
      <c r="G114" s="28" t="inlineStr">
        <is>
          <t>Zenith Bank</t>
        </is>
      </c>
      <c r="H114" s="29" t="n">
        <v>3000</v>
      </c>
      <c r="I114" s="29" t="n">
        <v>100</v>
      </c>
      <c r="J114" s="29" t="n">
        <v>30</v>
      </c>
      <c r="K114" s="29">
        <f>I114-J114</f>
        <v/>
      </c>
      <c r="L114" s="27" t="inlineStr">
        <is>
          <t>Successful</t>
        </is>
      </c>
      <c r="M114" s="28" t="inlineStr">
        <is>
          <t>None</t>
        </is>
      </c>
    </row>
    <row r="115">
      <c r="A115" s="30" t="inlineStr">
        <is>
          <t>POS-2026-0114</t>
        </is>
      </c>
      <c r="B115" s="30" t="inlineStr">
        <is>
          <t>2026-03-14 15:30:18</t>
        </is>
      </c>
      <c r="C115" s="30" t="inlineStr">
        <is>
          <t>2026-03-14</t>
        </is>
      </c>
      <c r="D115" s="31" t="inlineStr">
        <is>
          <t>Saturday</t>
        </is>
      </c>
      <c r="E115" s="30" t="n">
        <v>15</v>
      </c>
      <c r="F115" s="31" t="inlineStr">
        <is>
          <t>Cash-Out</t>
        </is>
      </c>
      <c r="G115" s="31" t="inlineStr">
        <is>
          <t>Kuda Bank</t>
        </is>
      </c>
      <c r="H115" s="32" t="n">
        <v>10000</v>
      </c>
      <c r="I115" s="32" t="n">
        <v>200</v>
      </c>
      <c r="J115" s="32" t="n">
        <v>50</v>
      </c>
      <c r="K115" s="32">
        <f>I115-J115</f>
        <v/>
      </c>
      <c r="L115" s="30" t="inlineStr">
        <is>
          <t>Successful</t>
        </is>
      </c>
      <c r="M115" s="31" t="inlineStr">
        <is>
          <t>None</t>
        </is>
      </c>
    </row>
    <row r="116">
      <c r="A116" s="27" t="inlineStr">
        <is>
          <t>POS-2026-0115</t>
        </is>
      </c>
      <c r="B116" s="27" t="inlineStr">
        <is>
          <t>2026-03-14 13:43:14</t>
        </is>
      </c>
      <c r="C116" s="27" t="inlineStr">
        <is>
          <t>2026-03-14</t>
        </is>
      </c>
      <c r="D116" s="28" t="inlineStr">
        <is>
          <t>Saturday</t>
        </is>
      </c>
      <c r="E116" s="27" t="n">
        <v>13</v>
      </c>
      <c r="F116" s="28" t="inlineStr">
        <is>
          <t>Airtime</t>
        </is>
      </c>
      <c r="G116" s="28" t="inlineStr">
        <is>
          <t>First Bank</t>
        </is>
      </c>
      <c r="H116" s="29" t="n">
        <v>3000</v>
      </c>
      <c r="I116" s="29" t="n">
        <v>60</v>
      </c>
      <c r="J116" s="29" t="n">
        <v>15</v>
      </c>
      <c r="K116" s="29">
        <f>I116-J116</f>
        <v/>
      </c>
      <c r="L116" s="27" t="inlineStr">
        <is>
          <t>Successful</t>
        </is>
      </c>
      <c r="M116" s="28" t="inlineStr">
        <is>
          <t>None</t>
        </is>
      </c>
    </row>
    <row r="117">
      <c r="A117" s="30" t="inlineStr">
        <is>
          <t>POS-2026-0116</t>
        </is>
      </c>
      <c r="B117" s="30" t="inlineStr">
        <is>
          <t>2026-03-14 11:09:58</t>
        </is>
      </c>
      <c r="C117" s="30" t="inlineStr">
        <is>
          <t>2026-03-14</t>
        </is>
      </c>
      <c r="D117" s="31" t="inlineStr">
        <is>
          <t>Saturday</t>
        </is>
      </c>
      <c r="E117" s="30" t="n">
        <v>11</v>
      </c>
      <c r="F117" s="31" t="inlineStr">
        <is>
          <t>Cash-Out</t>
        </is>
      </c>
      <c r="G117" s="31" t="inlineStr">
        <is>
          <t>Zenith Bank</t>
        </is>
      </c>
      <c r="H117" s="32" t="n">
        <v>3000</v>
      </c>
      <c r="I117" s="32" t="n">
        <v>100</v>
      </c>
      <c r="J117" s="32" t="n">
        <v>25</v>
      </c>
      <c r="K117" s="32">
        <f>I117-J117</f>
        <v/>
      </c>
      <c r="L117" s="30" t="inlineStr">
        <is>
          <t>Successful</t>
        </is>
      </c>
      <c r="M117" s="31" t="inlineStr">
        <is>
          <t>None</t>
        </is>
      </c>
    </row>
    <row r="118">
      <c r="A118" s="27" t="inlineStr">
        <is>
          <t>POS-2026-0117</t>
        </is>
      </c>
      <c r="B118" s="27" t="inlineStr">
        <is>
          <t>2026-03-14 16:38:47</t>
        </is>
      </c>
      <c r="C118" s="27" t="inlineStr">
        <is>
          <t>2026-03-14</t>
        </is>
      </c>
      <c r="D118" s="28" t="inlineStr">
        <is>
          <t>Saturday</t>
        </is>
      </c>
      <c r="E118" s="27" t="n">
        <v>16</v>
      </c>
      <c r="F118" s="28" t="inlineStr">
        <is>
          <t>Bill Payment</t>
        </is>
      </c>
      <c r="G118" s="28" t="inlineStr">
        <is>
          <t>Kuda Bank</t>
        </is>
      </c>
      <c r="H118" s="29" t="n">
        <v>11000</v>
      </c>
      <c r="I118" s="29" t="n">
        <v>150</v>
      </c>
      <c r="J118" s="29" t="n">
        <v>50</v>
      </c>
      <c r="K118" s="29">
        <f>I118-J118</f>
        <v/>
      </c>
      <c r="L118" s="27" t="inlineStr">
        <is>
          <t>Successful</t>
        </is>
      </c>
      <c r="M118" s="28" t="inlineStr">
        <is>
          <t>None</t>
        </is>
      </c>
    </row>
    <row r="119">
      <c r="A119" s="30" t="inlineStr">
        <is>
          <t>POS-2026-0118</t>
        </is>
      </c>
      <c r="B119" s="30" t="inlineStr">
        <is>
          <t>2026-03-14 15:44:25</t>
        </is>
      </c>
      <c r="C119" s="30" t="inlineStr">
        <is>
          <t>2026-03-14</t>
        </is>
      </c>
      <c r="D119" s="31" t="inlineStr">
        <is>
          <t>Saturday</t>
        </is>
      </c>
      <c r="E119" s="30" t="n">
        <v>15</v>
      </c>
      <c r="F119" s="31" t="inlineStr">
        <is>
          <t>Airtime</t>
        </is>
      </c>
      <c r="G119" s="31" t="inlineStr">
        <is>
          <t>UBA</t>
        </is>
      </c>
      <c r="H119" s="32" t="n">
        <v>3000</v>
      </c>
      <c r="I119" s="32" t="n">
        <v>60</v>
      </c>
      <c r="J119" s="32" t="n">
        <v>15</v>
      </c>
      <c r="K119" s="32">
        <f>I119-J119</f>
        <v/>
      </c>
      <c r="L119" s="30" t="inlineStr">
        <is>
          <t>Successful</t>
        </is>
      </c>
      <c r="M119" s="31" t="inlineStr">
        <is>
          <t>None</t>
        </is>
      </c>
    </row>
    <row r="120">
      <c r="A120" s="27" t="inlineStr">
        <is>
          <t>POS-2026-0119</t>
        </is>
      </c>
      <c r="B120" s="27" t="inlineStr">
        <is>
          <t>2026-03-14 07:27:47</t>
        </is>
      </c>
      <c r="C120" s="27" t="inlineStr">
        <is>
          <t>2026-03-14</t>
        </is>
      </c>
      <c r="D120" s="28" t="inlineStr">
        <is>
          <t>Saturday</t>
        </is>
      </c>
      <c r="E120" s="27" t="n">
        <v>7</v>
      </c>
      <c r="F120" s="28" t="inlineStr">
        <is>
          <t>Cash-Out</t>
        </is>
      </c>
      <c r="G120" s="28" t="inlineStr">
        <is>
          <t>Kuda Bank</t>
        </is>
      </c>
      <c r="H120" s="29" t="n">
        <v>2000</v>
      </c>
      <c r="I120" s="29" t="n">
        <v>100</v>
      </c>
      <c r="J120" s="29" t="n">
        <v>25</v>
      </c>
      <c r="K120" s="29">
        <f>I120-J120</f>
        <v/>
      </c>
      <c r="L120" s="27" t="inlineStr">
        <is>
          <t>Successful</t>
        </is>
      </c>
      <c r="M120" s="28" t="inlineStr">
        <is>
          <t>None</t>
        </is>
      </c>
    </row>
    <row r="121">
      <c r="A121" s="30" t="inlineStr">
        <is>
          <t>POS-2026-0120</t>
        </is>
      </c>
      <c r="B121" s="30" t="inlineStr">
        <is>
          <t>2026-03-14 20:53:55</t>
        </is>
      </c>
      <c r="C121" s="30" t="inlineStr">
        <is>
          <t>2026-03-14</t>
        </is>
      </c>
      <c r="D121" s="31" t="inlineStr">
        <is>
          <t>Saturday</t>
        </is>
      </c>
      <c r="E121" s="30" t="n">
        <v>20</v>
      </c>
      <c r="F121" s="31" t="inlineStr">
        <is>
          <t>Cash-In</t>
        </is>
      </c>
      <c r="G121" s="31" t="inlineStr">
        <is>
          <t>GTBank</t>
        </is>
      </c>
      <c r="H121" s="32" t="n">
        <v>50000</v>
      </c>
      <c r="I121" s="32" t="n">
        <v>200</v>
      </c>
      <c r="J121" s="32" t="n">
        <v>50</v>
      </c>
      <c r="K121" s="32">
        <f>I121-J121</f>
        <v/>
      </c>
      <c r="L121" s="30" t="inlineStr">
        <is>
          <t>Successful</t>
        </is>
      </c>
      <c r="M121" s="31" t="inlineStr">
        <is>
          <t>None</t>
        </is>
      </c>
    </row>
    <row r="122">
      <c r="A122" s="27" t="inlineStr">
        <is>
          <t>POS-2026-0121</t>
        </is>
      </c>
      <c r="B122" s="27" t="inlineStr">
        <is>
          <t>2026-03-15 14:48:48</t>
        </is>
      </c>
      <c r="C122" s="27" t="inlineStr">
        <is>
          <t>2026-03-15</t>
        </is>
      </c>
      <c r="D122" s="28" t="inlineStr">
        <is>
          <t>Sunday</t>
        </is>
      </c>
      <c r="E122" s="27" t="n">
        <v>14</v>
      </c>
      <c r="F122" s="28" t="inlineStr">
        <is>
          <t>Cash-Out</t>
        </is>
      </c>
      <c r="G122" s="28" t="inlineStr">
        <is>
          <t>UBA</t>
        </is>
      </c>
      <c r="H122" s="29" t="n">
        <v>10000</v>
      </c>
      <c r="I122" s="29" t="n">
        <v>200</v>
      </c>
      <c r="J122" s="29" t="n">
        <v>50</v>
      </c>
      <c r="K122" s="29">
        <f>I122-J122</f>
        <v/>
      </c>
      <c r="L122" s="27" t="inlineStr">
        <is>
          <t>Successful</t>
        </is>
      </c>
      <c r="M122" s="28" t="inlineStr">
        <is>
          <t>None</t>
        </is>
      </c>
    </row>
    <row r="123">
      <c r="A123" s="30" t="inlineStr">
        <is>
          <t>POS-2026-0122</t>
        </is>
      </c>
      <c r="B123" s="30" t="inlineStr">
        <is>
          <t>2026-03-15 14:40:52</t>
        </is>
      </c>
      <c r="C123" s="30" t="inlineStr">
        <is>
          <t>2026-03-15</t>
        </is>
      </c>
      <c r="D123" s="31" t="inlineStr">
        <is>
          <t>Sunday</t>
        </is>
      </c>
      <c r="E123" s="30" t="n">
        <v>14</v>
      </c>
      <c r="F123" s="31" t="inlineStr">
        <is>
          <t>Cash-Out</t>
        </is>
      </c>
      <c r="G123" s="31" t="inlineStr">
        <is>
          <t>Access Bank</t>
        </is>
      </c>
      <c r="H123" s="32" t="n">
        <v>25000</v>
      </c>
      <c r="I123" s="32" t="n">
        <v>300</v>
      </c>
      <c r="J123" s="32" t="n">
        <v>80</v>
      </c>
      <c r="K123" s="32">
        <f>I123-J123</f>
        <v/>
      </c>
      <c r="L123" s="30" t="inlineStr">
        <is>
          <t>Successful</t>
        </is>
      </c>
      <c r="M123" s="31" t="inlineStr">
        <is>
          <t>None</t>
        </is>
      </c>
    </row>
    <row r="124">
      <c r="A124" s="27" t="inlineStr">
        <is>
          <t>POS-2026-0123</t>
        </is>
      </c>
      <c r="B124" s="27" t="inlineStr">
        <is>
          <t>2026-03-15 12:42:06</t>
        </is>
      </c>
      <c r="C124" s="27" t="inlineStr">
        <is>
          <t>2026-03-15</t>
        </is>
      </c>
      <c r="D124" s="28" t="inlineStr">
        <is>
          <t>Sunday</t>
        </is>
      </c>
      <c r="E124" s="27" t="n">
        <v>12</v>
      </c>
      <c r="F124" s="28" t="inlineStr">
        <is>
          <t>Bill Payment</t>
        </is>
      </c>
      <c r="G124" s="28" t="inlineStr">
        <is>
          <t>OPay</t>
        </is>
      </c>
      <c r="H124" s="29" t="n">
        <v>11000</v>
      </c>
      <c r="I124" s="29" t="n">
        <v>150</v>
      </c>
      <c r="J124" s="29" t="n">
        <v>50</v>
      </c>
      <c r="K124" s="29">
        <f>I124-J124</f>
        <v/>
      </c>
      <c r="L124" s="27" t="inlineStr">
        <is>
          <t>Successful</t>
        </is>
      </c>
      <c r="M124" s="28" t="inlineStr">
        <is>
          <t>None</t>
        </is>
      </c>
    </row>
    <row r="125">
      <c r="A125" s="30" t="inlineStr">
        <is>
          <t>POS-2026-0124</t>
        </is>
      </c>
      <c r="B125" s="30" t="inlineStr">
        <is>
          <t>2026-03-15 12:25:52</t>
        </is>
      </c>
      <c r="C125" s="30" t="inlineStr">
        <is>
          <t>2026-03-15</t>
        </is>
      </c>
      <c r="D125" s="31" t="inlineStr">
        <is>
          <t>Sunday</t>
        </is>
      </c>
      <c r="E125" s="30" t="n">
        <v>12</v>
      </c>
      <c r="F125" s="31" t="inlineStr">
        <is>
          <t>Cash-In</t>
        </is>
      </c>
      <c r="G125" s="31" t="inlineStr">
        <is>
          <t>GTBank</t>
        </is>
      </c>
      <c r="H125" s="32" t="n">
        <v>15000</v>
      </c>
      <c r="I125" s="32" t="n">
        <v>200</v>
      </c>
      <c r="J125" s="32" t="n">
        <v>50</v>
      </c>
      <c r="K125" s="32">
        <f>I125-J125</f>
        <v/>
      </c>
      <c r="L125" s="30" t="inlineStr">
        <is>
          <t>Successful</t>
        </is>
      </c>
      <c r="M125" s="31" t="inlineStr">
        <is>
          <t>None</t>
        </is>
      </c>
    </row>
    <row r="126">
      <c r="A126" s="27" t="inlineStr">
        <is>
          <t>POS-2026-0125</t>
        </is>
      </c>
      <c r="B126" s="27" t="inlineStr">
        <is>
          <t>2026-03-15 11:07:49</t>
        </is>
      </c>
      <c r="C126" s="27" t="inlineStr">
        <is>
          <t>2026-03-15</t>
        </is>
      </c>
      <c r="D126" s="28" t="inlineStr">
        <is>
          <t>Sunday</t>
        </is>
      </c>
      <c r="E126" s="27" t="n">
        <v>11</v>
      </c>
      <c r="F126" s="28" t="inlineStr">
        <is>
          <t>Cash-Out</t>
        </is>
      </c>
      <c r="G126" s="28" t="inlineStr">
        <is>
          <t>GTBank</t>
        </is>
      </c>
      <c r="H126" s="29" t="n">
        <v>25000</v>
      </c>
      <c r="I126" s="29" t="n">
        <v>300</v>
      </c>
      <c r="J126" s="29" t="n">
        <v>80</v>
      </c>
      <c r="K126" s="29">
        <f>I126-J126</f>
        <v/>
      </c>
      <c r="L126" s="27" t="inlineStr">
        <is>
          <t>Successful</t>
        </is>
      </c>
      <c r="M126" s="28" t="inlineStr">
        <is>
          <t>None</t>
        </is>
      </c>
    </row>
    <row r="127">
      <c r="A127" s="30" t="inlineStr">
        <is>
          <t>POS-2026-0126</t>
        </is>
      </c>
      <c r="B127" s="30" t="inlineStr">
        <is>
          <t>2026-03-15 10:23:39</t>
        </is>
      </c>
      <c r="C127" s="30" t="inlineStr">
        <is>
          <t>2026-03-15</t>
        </is>
      </c>
      <c r="D127" s="31" t="inlineStr">
        <is>
          <t>Sunday</t>
        </is>
      </c>
      <c r="E127" s="30" t="n">
        <v>10</v>
      </c>
      <c r="F127" s="31" t="inlineStr">
        <is>
          <t>Cash-In</t>
        </is>
      </c>
      <c r="G127" s="31" t="inlineStr">
        <is>
          <t>UBA</t>
        </is>
      </c>
      <c r="H127" s="32" t="n">
        <v>50000</v>
      </c>
      <c r="I127" s="32" t="n">
        <v>200</v>
      </c>
      <c r="J127" s="32" t="n">
        <v>50</v>
      </c>
      <c r="K127" s="32">
        <f>I127-J127</f>
        <v/>
      </c>
      <c r="L127" s="30" t="inlineStr">
        <is>
          <t>Successful</t>
        </is>
      </c>
      <c r="M127" s="31" t="inlineStr">
        <is>
          <t>None</t>
        </is>
      </c>
    </row>
    <row r="128">
      <c r="A128" s="27" t="inlineStr">
        <is>
          <t>POS-2026-0127</t>
        </is>
      </c>
      <c r="B128" s="27" t="inlineStr">
        <is>
          <t>2026-03-15 11:08:59</t>
        </is>
      </c>
      <c r="C128" s="27" t="inlineStr">
        <is>
          <t>2026-03-15</t>
        </is>
      </c>
      <c r="D128" s="28" t="inlineStr">
        <is>
          <t>Sunday</t>
        </is>
      </c>
      <c r="E128" s="27" t="n">
        <v>11</v>
      </c>
      <c r="F128" s="28" t="inlineStr">
        <is>
          <t>Cash-Out</t>
        </is>
      </c>
      <c r="G128" s="28" t="inlineStr">
        <is>
          <t>UBA</t>
        </is>
      </c>
      <c r="H128" s="29" t="n">
        <v>3000</v>
      </c>
      <c r="I128" s="29" t="n">
        <v>100</v>
      </c>
      <c r="J128" s="29" t="n">
        <v>25</v>
      </c>
      <c r="K128" s="29">
        <f>I128-J128</f>
        <v/>
      </c>
      <c r="L128" s="27" t="inlineStr">
        <is>
          <t>Successful</t>
        </is>
      </c>
      <c r="M128" s="28" t="inlineStr">
        <is>
          <t>None</t>
        </is>
      </c>
    </row>
    <row r="129">
      <c r="A129" s="30" t="inlineStr">
        <is>
          <t>POS-2026-0128</t>
        </is>
      </c>
      <c r="B129" s="30" t="inlineStr">
        <is>
          <t>2026-03-15 15:51:15</t>
        </is>
      </c>
      <c r="C129" s="30" t="inlineStr">
        <is>
          <t>2026-03-15</t>
        </is>
      </c>
      <c r="D129" s="31" t="inlineStr">
        <is>
          <t>Sunday</t>
        </is>
      </c>
      <c r="E129" s="30" t="n">
        <v>15</v>
      </c>
      <c r="F129" s="31" t="inlineStr">
        <is>
          <t>Cash-In</t>
        </is>
      </c>
      <c r="G129" s="31" t="inlineStr">
        <is>
          <t>Kuda Bank</t>
        </is>
      </c>
      <c r="H129" s="32" t="n">
        <v>20000</v>
      </c>
      <c r="I129" s="32" t="n">
        <v>200</v>
      </c>
      <c r="J129" s="32" t="n">
        <v>50</v>
      </c>
      <c r="K129" s="32">
        <f>I129-J129</f>
        <v/>
      </c>
      <c r="L129" s="30" t="inlineStr">
        <is>
          <t>Successful</t>
        </is>
      </c>
      <c r="M129" s="31" t="inlineStr">
        <is>
          <t>None</t>
        </is>
      </c>
    </row>
    <row r="130">
      <c r="A130" s="27" t="inlineStr">
        <is>
          <t>POS-2026-0129</t>
        </is>
      </c>
      <c r="B130" s="27" t="inlineStr">
        <is>
          <t>2026-03-15 13:14:53</t>
        </is>
      </c>
      <c r="C130" s="27" t="inlineStr">
        <is>
          <t>2026-03-15</t>
        </is>
      </c>
      <c r="D130" s="28" t="inlineStr">
        <is>
          <t>Sunday</t>
        </is>
      </c>
      <c r="E130" s="27" t="n">
        <v>13</v>
      </c>
      <c r="F130" s="28" t="inlineStr">
        <is>
          <t>Bill Payment</t>
        </is>
      </c>
      <c r="G130" s="28" t="inlineStr">
        <is>
          <t>UBA</t>
        </is>
      </c>
      <c r="H130" s="29" t="n">
        <v>2000</v>
      </c>
      <c r="I130" s="29" t="n">
        <v>150</v>
      </c>
      <c r="J130" s="29" t="n">
        <v>50</v>
      </c>
      <c r="K130" s="29">
        <f>I130-J130</f>
        <v/>
      </c>
      <c r="L130" s="27" t="inlineStr">
        <is>
          <t>Successful</t>
        </is>
      </c>
      <c r="M130" s="28" t="inlineStr">
        <is>
          <t>None</t>
        </is>
      </c>
    </row>
    <row r="131">
      <c r="A131" s="30" t="inlineStr">
        <is>
          <t>POS-2026-0130</t>
        </is>
      </c>
      <c r="B131" s="30" t="inlineStr">
        <is>
          <t>2026-03-16 14:45:18</t>
        </is>
      </c>
      <c r="C131" s="30" t="inlineStr">
        <is>
          <t>2026-03-16</t>
        </is>
      </c>
      <c r="D131" s="31" t="inlineStr">
        <is>
          <t>Monday</t>
        </is>
      </c>
      <c r="E131" s="30" t="n">
        <v>14</v>
      </c>
      <c r="F131" s="31" t="inlineStr">
        <is>
          <t>Cash-Out</t>
        </is>
      </c>
      <c r="G131" s="31" t="inlineStr">
        <is>
          <t>Kuda Bank</t>
        </is>
      </c>
      <c r="H131" s="32" t="n">
        <v>20000</v>
      </c>
      <c r="I131" s="32" t="n">
        <v>300</v>
      </c>
      <c r="J131" s="32" t="n">
        <v>80</v>
      </c>
      <c r="K131" s="32">
        <f>I131-J131</f>
        <v/>
      </c>
      <c r="L131" s="30" t="inlineStr">
        <is>
          <t>Successful</t>
        </is>
      </c>
      <c r="M131" s="31" t="inlineStr">
        <is>
          <t>None</t>
        </is>
      </c>
    </row>
    <row r="132">
      <c r="A132" s="27" t="inlineStr">
        <is>
          <t>POS-2026-0131</t>
        </is>
      </c>
      <c r="B132" s="27" t="inlineStr">
        <is>
          <t>2026-03-16 20:15:29</t>
        </is>
      </c>
      <c r="C132" s="27" t="inlineStr">
        <is>
          <t>2026-03-16</t>
        </is>
      </c>
      <c r="D132" s="28" t="inlineStr">
        <is>
          <t>Monday</t>
        </is>
      </c>
      <c r="E132" s="27" t="n">
        <v>20</v>
      </c>
      <c r="F132" s="28" t="inlineStr">
        <is>
          <t>Cash-In</t>
        </is>
      </c>
      <c r="G132" s="28" t="inlineStr">
        <is>
          <t>Moniepoint</t>
        </is>
      </c>
      <c r="H132" s="29" t="n">
        <v>5000</v>
      </c>
      <c r="I132" s="29" t="n">
        <v>0</v>
      </c>
      <c r="J132" s="29" t="n">
        <v>0</v>
      </c>
      <c r="K132" s="29">
        <f>I132-J132</f>
        <v/>
      </c>
      <c r="L132" s="27" t="inlineStr">
        <is>
          <t>Failed</t>
        </is>
      </c>
      <c r="M132" s="28" t="inlineStr">
        <is>
          <t>Issuer Bank Down</t>
        </is>
      </c>
    </row>
    <row r="133">
      <c r="A133" s="30" t="inlineStr">
        <is>
          <t>POS-2026-0132</t>
        </is>
      </c>
      <c r="B133" s="30" t="inlineStr">
        <is>
          <t>2026-03-16 18:17:49</t>
        </is>
      </c>
      <c r="C133" s="30" t="inlineStr">
        <is>
          <t>2026-03-16</t>
        </is>
      </c>
      <c r="D133" s="31" t="inlineStr">
        <is>
          <t>Monday</t>
        </is>
      </c>
      <c r="E133" s="30" t="n">
        <v>18</v>
      </c>
      <c r="F133" s="31" t="inlineStr">
        <is>
          <t>Cash-In</t>
        </is>
      </c>
      <c r="G133" s="31" t="inlineStr">
        <is>
          <t>Moniepoint</t>
        </is>
      </c>
      <c r="H133" s="32" t="n">
        <v>10000</v>
      </c>
      <c r="I133" s="32" t="n">
        <v>0</v>
      </c>
      <c r="J133" s="32" t="n">
        <v>0</v>
      </c>
      <c r="K133" s="32">
        <f>I133-J133</f>
        <v/>
      </c>
      <c r="L133" s="30" t="inlineStr">
        <is>
          <t>Failed</t>
        </is>
      </c>
      <c r="M133" s="31" t="inlineStr">
        <is>
          <t>Insufficient Agent Float</t>
        </is>
      </c>
    </row>
    <row r="134">
      <c r="A134" s="27" t="inlineStr">
        <is>
          <t>POS-2026-0133</t>
        </is>
      </c>
      <c r="B134" s="27" t="inlineStr">
        <is>
          <t>2026-03-16 17:18:46</t>
        </is>
      </c>
      <c r="C134" s="27" t="inlineStr">
        <is>
          <t>2026-03-16</t>
        </is>
      </c>
      <c r="D134" s="28" t="inlineStr">
        <is>
          <t>Monday</t>
        </is>
      </c>
      <c r="E134" s="27" t="n">
        <v>17</v>
      </c>
      <c r="F134" s="28" t="inlineStr">
        <is>
          <t>Cash-Out</t>
        </is>
      </c>
      <c r="G134" s="28" t="inlineStr">
        <is>
          <t>UBA</t>
        </is>
      </c>
      <c r="H134" s="29" t="n">
        <v>5000</v>
      </c>
      <c r="I134" s="29" t="n">
        <v>100</v>
      </c>
      <c r="J134" s="29" t="n">
        <v>25</v>
      </c>
      <c r="K134" s="29">
        <f>I134-J134</f>
        <v/>
      </c>
      <c r="L134" s="27" t="inlineStr">
        <is>
          <t>Successful</t>
        </is>
      </c>
      <c r="M134" s="28" t="inlineStr">
        <is>
          <t>None</t>
        </is>
      </c>
    </row>
    <row r="135">
      <c r="A135" s="30" t="inlineStr">
        <is>
          <t>POS-2026-0134</t>
        </is>
      </c>
      <c r="B135" s="30" t="inlineStr">
        <is>
          <t>2026-03-16 13:21:35</t>
        </is>
      </c>
      <c r="C135" s="30" t="inlineStr">
        <is>
          <t>2026-03-16</t>
        </is>
      </c>
      <c r="D135" s="31" t="inlineStr">
        <is>
          <t>Monday</t>
        </is>
      </c>
      <c r="E135" s="30" t="n">
        <v>13</v>
      </c>
      <c r="F135" s="31" t="inlineStr">
        <is>
          <t>Cash-In</t>
        </is>
      </c>
      <c r="G135" s="31" t="inlineStr">
        <is>
          <t>Moniepoint</t>
        </is>
      </c>
      <c r="H135" s="32" t="n">
        <v>15000</v>
      </c>
      <c r="I135" s="32" t="n">
        <v>0</v>
      </c>
      <c r="J135" s="32" t="n">
        <v>0</v>
      </c>
      <c r="K135" s="32">
        <f>I135-J135</f>
        <v/>
      </c>
      <c r="L135" s="30" t="inlineStr">
        <is>
          <t>Failed</t>
        </is>
      </c>
      <c r="M135" s="31" t="inlineStr">
        <is>
          <t>Issuer Bank Down</t>
        </is>
      </c>
    </row>
    <row r="136">
      <c r="A136" s="27" t="inlineStr">
        <is>
          <t>POS-2026-0135</t>
        </is>
      </c>
      <c r="B136" s="27" t="inlineStr">
        <is>
          <t>2026-03-16 20:15:36</t>
        </is>
      </c>
      <c r="C136" s="27" t="inlineStr">
        <is>
          <t>2026-03-16</t>
        </is>
      </c>
      <c r="D136" s="28" t="inlineStr">
        <is>
          <t>Monday</t>
        </is>
      </c>
      <c r="E136" s="27" t="n">
        <v>20</v>
      </c>
      <c r="F136" s="28" t="inlineStr">
        <is>
          <t>Cash-Out</t>
        </is>
      </c>
      <c r="G136" s="28" t="inlineStr">
        <is>
          <t>Moniepoint</t>
        </is>
      </c>
      <c r="H136" s="29" t="n">
        <v>2000</v>
      </c>
      <c r="I136" s="29" t="n">
        <v>100</v>
      </c>
      <c r="J136" s="29" t="n">
        <v>25</v>
      </c>
      <c r="K136" s="29">
        <f>I136-J136</f>
        <v/>
      </c>
      <c r="L136" s="27" t="inlineStr">
        <is>
          <t>Successful</t>
        </is>
      </c>
      <c r="M136" s="28" t="inlineStr">
        <is>
          <t>None</t>
        </is>
      </c>
    </row>
    <row r="137">
      <c r="A137" s="30" t="inlineStr">
        <is>
          <t>POS-2026-0136</t>
        </is>
      </c>
      <c r="B137" s="30" t="inlineStr">
        <is>
          <t>2026-03-16 13:58:51</t>
        </is>
      </c>
      <c r="C137" s="30" t="inlineStr">
        <is>
          <t>2026-03-16</t>
        </is>
      </c>
      <c r="D137" s="31" t="inlineStr">
        <is>
          <t>Monday</t>
        </is>
      </c>
      <c r="E137" s="30" t="n">
        <v>13</v>
      </c>
      <c r="F137" s="31" t="inlineStr">
        <is>
          <t>Cash-Out</t>
        </is>
      </c>
      <c r="G137" s="31" t="inlineStr">
        <is>
          <t>Zenith Bank</t>
        </is>
      </c>
      <c r="H137" s="32" t="n">
        <v>25000</v>
      </c>
      <c r="I137" s="32" t="n">
        <v>0</v>
      </c>
      <c r="J137" s="32" t="n">
        <v>0</v>
      </c>
      <c r="K137" s="32">
        <f>I137-J137</f>
        <v/>
      </c>
      <c r="L137" s="30" t="inlineStr">
        <is>
          <t>Failed</t>
        </is>
      </c>
      <c r="M137" s="31" t="inlineStr">
        <is>
          <t>Issuer Bank Down</t>
        </is>
      </c>
    </row>
    <row r="138">
      <c r="A138" s="27" t="inlineStr">
        <is>
          <t>POS-2026-0137</t>
        </is>
      </c>
      <c r="B138" s="27" t="inlineStr">
        <is>
          <t>2026-03-16 14:37:21</t>
        </is>
      </c>
      <c r="C138" s="27" t="inlineStr">
        <is>
          <t>2026-03-16</t>
        </is>
      </c>
      <c r="D138" s="28" t="inlineStr">
        <is>
          <t>Monday</t>
        </is>
      </c>
      <c r="E138" s="27" t="n">
        <v>14</v>
      </c>
      <c r="F138" s="28" t="inlineStr">
        <is>
          <t>Bill Payment</t>
        </is>
      </c>
      <c r="G138" s="28" t="inlineStr">
        <is>
          <t>UBA</t>
        </is>
      </c>
      <c r="H138" s="29" t="n">
        <v>2000</v>
      </c>
      <c r="I138" s="29" t="n">
        <v>150</v>
      </c>
      <c r="J138" s="29" t="n">
        <v>50</v>
      </c>
      <c r="K138" s="29">
        <f>I138-J138</f>
        <v/>
      </c>
      <c r="L138" s="27" t="inlineStr">
        <is>
          <t>Successful</t>
        </is>
      </c>
      <c r="M138" s="28" t="inlineStr">
        <is>
          <t>None</t>
        </is>
      </c>
    </row>
    <row r="139">
      <c r="A139" s="30" t="inlineStr">
        <is>
          <t>POS-2026-0138</t>
        </is>
      </c>
      <c r="B139" s="30" t="inlineStr">
        <is>
          <t>2026-03-17 06:09:26</t>
        </is>
      </c>
      <c r="C139" s="30" t="inlineStr">
        <is>
          <t>2026-03-17</t>
        </is>
      </c>
      <c r="D139" s="31" t="inlineStr">
        <is>
          <t>Tuesday</t>
        </is>
      </c>
      <c r="E139" s="30" t="n">
        <v>6</v>
      </c>
      <c r="F139" s="31" t="inlineStr">
        <is>
          <t>Bill Payment</t>
        </is>
      </c>
      <c r="G139" s="31" t="inlineStr">
        <is>
          <t>Zenith Bank</t>
        </is>
      </c>
      <c r="H139" s="32" t="n">
        <v>2000</v>
      </c>
      <c r="I139" s="32" t="n">
        <v>150</v>
      </c>
      <c r="J139" s="32" t="n">
        <v>50</v>
      </c>
      <c r="K139" s="32">
        <f>I139-J139</f>
        <v/>
      </c>
      <c r="L139" s="30" t="inlineStr">
        <is>
          <t>Successful</t>
        </is>
      </c>
      <c r="M139" s="31" t="inlineStr">
        <is>
          <t>None</t>
        </is>
      </c>
    </row>
    <row r="140">
      <c r="A140" s="27" t="inlineStr">
        <is>
          <t>POS-2026-0139</t>
        </is>
      </c>
      <c r="B140" s="27" t="inlineStr">
        <is>
          <t>2026-03-17 20:21:39</t>
        </is>
      </c>
      <c r="C140" s="27" t="inlineStr">
        <is>
          <t>2026-03-17</t>
        </is>
      </c>
      <c r="D140" s="28" t="inlineStr">
        <is>
          <t>Tuesday</t>
        </is>
      </c>
      <c r="E140" s="27" t="n">
        <v>20</v>
      </c>
      <c r="F140" s="28" t="inlineStr">
        <is>
          <t>Cash-In</t>
        </is>
      </c>
      <c r="G140" s="28" t="inlineStr">
        <is>
          <t>Access Bank</t>
        </is>
      </c>
      <c r="H140" s="29" t="n">
        <v>50000</v>
      </c>
      <c r="I140" s="29" t="n">
        <v>200</v>
      </c>
      <c r="J140" s="29" t="n">
        <v>50</v>
      </c>
      <c r="K140" s="29">
        <f>I140-J140</f>
        <v/>
      </c>
      <c r="L140" s="27" t="inlineStr">
        <is>
          <t>Successful</t>
        </is>
      </c>
      <c r="M140" s="28" t="inlineStr">
        <is>
          <t>None</t>
        </is>
      </c>
    </row>
    <row r="141">
      <c r="A141" s="30" t="inlineStr">
        <is>
          <t>POS-2026-0140</t>
        </is>
      </c>
      <c r="B141" s="30" t="inlineStr">
        <is>
          <t>2026-03-17 15:34:24</t>
        </is>
      </c>
      <c r="C141" s="30" t="inlineStr">
        <is>
          <t>2026-03-17</t>
        </is>
      </c>
      <c r="D141" s="31" t="inlineStr">
        <is>
          <t>Tuesday</t>
        </is>
      </c>
      <c r="E141" s="30" t="n">
        <v>15</v>
      </c>
      <c r="F141" s="31" t="inlineStr">
        <is>
          <t>Airtime</t>
        </is>
      </c>
      <c r="G141" s="31" t="inlineStr">
        <is>
          <t>UBA</t>
        </is>
      </c>
      <c r="H141" s="32" t="n">
        <v>500</v>
      </c>
      <c r="I141" s="32" t="n">
        <v>10</v>
      </c>
      <c r="J141" s="32" t="n">
        <v>2</v>
      </c>
      <c r="K141" s="32">
        <f>I141-J141</f>
        <v/>
      </c>
      <c r="L141" s="30" t="inlineStr">
        <is>
          <t>Successful</t>
        </is>
      </c>
      <c r="M141" s="31" t="inlineStr">
        <is>
          <t>None</t>
        </is>
      </c>
    </row>
    <row r="142">
      <c r="A142" s="27" t="inlineStr">
        <is>
          <t>POS-2026-0141</t>
        </is>
      </c>
      <c r="B142" s="27" t="inlineStr">
        <is>
          <t>2026-03-17 11:43:58</t>
        </is>
      </c>
      <c r="C142" s="27" t="inlineStr">
        <is>
          <t>2026-03-17</t>
        </is>
      </c>
      <c r="D142" s="28" t="inlineStr">
        <is>
          <t>Tuesday</t>
        </is>
      </c>
      <c r="E142" s="27" t="n">
        <v>11</v>
      </c>
      <c r="F142" s="28" t="inlineStr">
        <is>
          <t>Cash-Out</t>
        </is>
      </c>
      <c r="G142" s="28" t="inlineStr">
        <is>
          <t>First Bank</t>
        </is>
      </c>
      <c r="H142" s="29" t="n">
        <v>3000</v>
      </c>
      <c r="I142" s="29" t="n">
        <v>100</v>
      </c>
      <c r="J142" s="29" t="n">
        <v>25</v>
      </c>
      <c r="K142" s="29">
        <f>I142-J142</f>
        <v/>
      </c>
      <c r="L142" s="27" t="inlineStr">
        <is>
          <t>Successful</t>
        </is>
      </c>
      <c r="M142" s="28" t="inlineStr">
        <is>
          <t>None</t>
        </is>
      </c>
    </row>
    <row r="143">
      <c r="A143" s="30" t="inlineStr">
        <is>
          <t>POS-2026-0142</t>
        </is>
      </c>
      <c r="B143" s="30" t="inlineStr">
        <is>
          <t>2026-03-17 09:40:45</t>
        </is>
      </c>
      <c r="C143" s="30" t="inlineStr">
        <is>
          <t>2026-03-17</t>
        </is>
      </c>
      <c r="D143" s="31" t="inlineStr">
        <is>
          <t>Tuesday</t>
        </is>
      </c>
      <c r="E143" s="30" t="n">
        <v>9</v>
      </c>
      <c r="F143" s="31" t="inlineStr">
        <is>
          <t>Bill Payment</t>
        </is>
      </c>
      <c r="G143" s="31" t="inlineStr">
        <is>
          <t>UBA</t>
        </is>
      </c>
      <c r="H143" s="32" t="n">
        <v>4500</v>
      </c>
      <c r="I143" s="32" t="n">
        <v>150</v>
      </c>
      <c r="J143" s="32" t="n">
        <v>50</v>
      </c>
      <c r="K143" s="32">
        <f>I143-J143</f>
        <v/>
      </c>
      <c r="L143" s="30" t="inlineStr">
        <is>
          <t>Successful</t>
        </is>
      </c>
      <c r="M143" s="31" t="inlineStr">
        <is>
          <t>None</t>
        </is>
      </c>
    </row>
    <row r="144">
      <c r="A144" s="27" t="inlineStr">
        <is>
          <t>POS-2026-0143</t>
        </is>
      </c>
      <c r="B144" s="27" t="inlineStr">
        <is>
          <t>2026-03-17 18:02:20</t>
        </is>
      </c>
      <c r="C144" s="27" t="inlineStr">
        <is>
          <t>2026-03-17</t>
        </is>
      </c>
      <c r="D144" s="28" t="inlineStr">
        <is>
          <t>Tuesday</t>
        </is>
      </c>
      <c r="E144" s="27" t="n">
        <v>18</v>
      </c>
      <c r="F144" s="28" t="inlineStr">
        <is>
          <t>Cash-In</t>
        </is>
      </c>
      <c r="G144" s="28" t="inlineStr">
        <is>
          <t>Kuda Bank</t>
        </is>
      </c>
      <c r="H144" s="29" t="n">
        <v>10000</v>
      </c>
      <c r="I144" s="29" t="n">
        <v>100</v>
      </c>
      <c r="J144" s="29" t="n">
        <v>30</v>
      </c>
      <c r="K144" s="29">
        <f>I144-J144</f>
        <v/>
      </c>
      <c r="L144" s="27" t="inlineStr">
        <is>
          <t>Successful</t>
        </is>
      </c>
      <c r="M144" s="28" t="inlineStr">
        <is>
          <t>None</t>
        </is>
      </c>
    </row>
    <row r="145">
      <c r="A145" s="30" t="inlineStr">
        <is>
          <t>POS-2026-0144</t>
        </is>
      </c>
      <c r="B145" s="30" t="inlineStr">
        <is>
          <t>2026-03-17 10:33:26</t>
        </is>
      </c>
      <c r="C145" s="30" t="inlineStr">
        <is>
          <t>2026-03-17</t>
        </is>
      </c>
      <c r="D145" s="31" t="inlineStr">
        <is>
          <t>Tuesday</t>
        </is>
      </c>
      <c r="E145" s="30" t="n">
        <v>10</v>
      </c>
      <c r="F145" s="31" t="inlineStr">
        <is>
          <t>Cash-In</t>
        </is>
      </c>
      <c r="G145" s="31" t="inlineStr">
        <is>
          <t>Zenith Bank</t>
        </is>
      </c>
      <c r="H145" s="32" t="n">
        <v>5000</v>
      </c>
      <c r="I145" s="32" t="n">
        <v>100</v>
      </c>
      <c r="J145" s="32" t="n">
        <v>30</v>
      </c>
      <c r="K145" s="32">
        <f>I145-J145</f>
        <v/>
      </c>
      <c r="L145" s="30" t="inlineStr">
        <is>
          <t>Successful</t>
        </is>
      </c>
      <c r="M145" s="31" t="inlineStr">
        <is>
          <t>None</t>
        </is>
      </c>
    </row>
    <row r="146">
      <c r="A146" s="27" t="inlineStr">
        <is>
          <t>POS-2026-0145</t>
        </is>
      </c>
      <c r="B146" s="27" t="inlineStr">
        <is>
          <t>2026-03-17 14:24:39</t>
        </is>
      </c>
      <c r="C146" s="27" t="inlineStr">
        <is>
          <t>2026-03-17</t>
        </is>
      </c>
      <c r="D146" s="28" t="inlineStr">
        <is>
          <t>Tuesday</t>
        </is>
      </c>
      <c r="E146" s="27" t="n">
        <v>14</v>
      </c>
      <c r="F146" s="28" t="inlineStr">
        <is>
          <t>Cash-In</t>
        </is>
      </c>
      <c r="G146" s="28" t="inlineStr">
        <is>
          <t>UBA</t>
        </is>
      </c>
      <c r="H146" s="29" t="n">
        <v>20000</v>
      </c>
      <c r="I146" s="29" t="n">
        <v>200</v>
      </c>
      <c r="J146" s="29" t="n">
        <v>50</v>
      </c>
      <c r="K146" s="29">
        <f>I146-J146</f>
        <v/>
      </c>
      <c r="L146" s="27" t="inlineStr">
        <is>
          <t>Successful</t>
        </is>
      </c>
      <c r="M146" s="28" t="inlineStr">
        <is>
          <t>None</t>
        </is>
      </c>
    </row>
    <row r="147">
      <c r="A147" s="30" t="inlineStr">
        <is>
          <t>POS-2026-0146</t>
        </is>
      </c>
      <c r="B147" s="30" t="inlineStr">
        <is>
          <t>2026-03-17 13:16:29</t>
        </is>
      </c>
      <c r="C147" s="30" t="inlineStr">
        <is>
          <t>2026-03-17</t>
        </is>
      </c>
      <c r="D147" s="31" t="inlineStr">
        <is>
          <t>Tuesday</t>
        </is>
      </c>
      <c r="E147" s="30" t="n">
        <v>13</v>
      </c>
      <c r="F147" s="31" t="inlineStr">
        <is>
          <t>Cash-Out</t>
        </is>
      </c>
      <c r="G147" s="31" t="inlineStr">
        <is>
          <t>GTBank</t>
        </is>
      </c>
      <c r="H147" s="32" t="n">
        <v>25000</v>
      </c>
      <c r="I147" s="32" t="n">
        <v>300</v>
      </c>
      <c r="J147" s="32" t="n">
        <v>80</v>
      </c>
      <c r="K147" s="32">
        <f>I147-J147</f>
        <v/>
      </c>
      <c r="L147" s="30" t="inlineStr">
        <is>
          <t>Successful</t>
        </is>
      </c>
      <c r="M147" s="31" t="inlineStr">
        <is>
          <t>None</t>
        </is>
      </c>
    </row>
    <row r="148">
      <c r="A148" s="27" t="inlineStr">
        <is>
          <t>POS-2026-0147</t>
        </is>
      </c>
      <c r="B148" s="27" t="inlineStr">
        <is>
          <t>2026-03-17 15:10:04</t>
        </is>
      </c>
      <c r="C148" s="27" t="inlineStr">
        <is>
          <t>2026-03-17</t>
        </is>
      </c>
      <c r="D148" s="28" t="inlineStr">
        <is>
          <t>Tuesday</t>
        </is>
      </c>
      <c r="E148" s="27" t="n">
        <v>15</v>
      </c>
      <c r="F148" s="28" t="inlineStr">
        <is>
          <t>Cash-Out</t>
        </is>
      </c>
      <c r="G148" s="28" t="inlineStr">
        <is>
          <t>OPay</t>
        </is>
      </c>
      <c r="H148" s="29" t="n">
        <v>10000</v>
      </c>
      <c r="I148" s="29" t="n">
        <v>200</v>
      </c>
      <c r="J148" s="29" t="n">
        <v>50</v>
      </c>
      <c r="K148" s="29">
        <f>I148-J148</f>
        <v/>
      </c>
      <c r="L148" s="27" t="inlineStr">
        <is>
          <t>Successful</t>
        </is>
      </c>
      <c r="M148" s="28" t="inlineStr">
        <is>
          <t>None</t>
        </is>
      </c>
    </row>
    <row r="149">
      <c r="A149" s="30" t="inlineStr">
        <is>
          <t>POS-2026-0148</t>
        </is>
      </c>
      <c r="B149" s="30" t="inlineStr">
        <is>
          <t>2026-03-18 15:29:54</t>
        </is>
      </c>
      <c r="C149" s="30" t="inlineStr">
        <is>
          <t>2026-03-18</t>
        </is>
      </c>
      <c r="D149" s="31" t="inlineStr">
        <is>
          <t>Wednesday</t>
        </is>
      </c>
      <c r="E149" s="30" t="n">
        <v>15</v>
      </c>
      <c r="F149" s="31" t="inlineStr">
        <is>
          <t>Cash-Out</t>
        </is>
      </c>
      <c r="G149" s="31" t="inlineStr">
        <is>
          <t>Moniepoint</t>
        </is>
      </c>
      <c r="H149" s="32" t="n">
        <v>25000</v>
      </c>
      <c r="I149" s="32" t="n">
        <v>300</v>
      </c>
      <c r="J149" s="32" t="n">
        <v>80</v>
      </c>
      <c r="K149" s="32">
        <f>I149-J149</f>
        <v/>
      </c>
      <c r="L149" s="30" t="inlineStr">
        <is>
          <t>Successful</t>
        </is>
      </c>
      <c r="M149" s="31" t="inlineStr">
        <is>
          <t>None</t>
        </is>
      </c>
    </row>
    <row r="150">
      <c r="A150" s="27" t="inlineStr">
        <is>
          <t>POS-2026-0149</t>
        </is>
      </c>
      <c r="B150" s="27" t="inlineStr">
        <is>
          <t>2026-03-18 13:22:36</t>
        </is>
      </c>
      <c r="C150" s="27" t="inlineStr">
        <is>
          <t>2026-03-18</t>
        </is>
      </c>
      <c r="D150" s="28" t="inlineStr">
        <is>
          <t>Wednesday</t>
        </is>
      </c>
      <c r="E150" s="27" t="n">
        <v>13</v>
      </c>
      <c r="F150" s="28" t="inlineStr">
        <is>
          <t>Cash-Out</t>
        </is>
      </c>
      <c r="G150" s="28" t="inlineStr">
        <is>
          <t>Kuda Bank</t>
        </is>
      </c>
      <c r="H150" s="29" t="n">
        <v>2000</v>
      </c>
      <c r="I150" s="29" t="n">
        <v>0</v>
      </c>
      <c r="J150" s="29" t="n">
        <v>0</v>
      </c>
      <c r="K150" s="29">
        <f>I150-J150</f>
        <v/>
      </c>
      <c r="L150" s="27" t="inlineStr">
        <is>
          <t>Failed</t>
        </is>
      </c>
      <c r="M150" s="28" t="inlineStr">
        <is>
          <t>System Maintenance</t>
        </is>
      </c>
    </row>
    <row r="151">
      <c r="A151" s="30" t="inlineStr">
        <is>
          <t>POS-2026-0150</t>
        </is>
      </c>
      <c r="B151" s="30" t="inlineStr">
        <is>
          <t>2026-03-18 12:36:55</t>
        </is>
      </c>
      <c r="C151" s="30" t="inlineStr">
        <is>
          <t>2026-03-18</t>
        </is>
      </c>
      <c r="D151" s="31" t="inlineStr">
        <is>
          <t>Wednesday</t>
        </is>
      </c>
      <c r="E151" s="30" t="n">
        <v>12</v>
      </c>
      <c r="F151" s="31" t="inlineStr">
        <is>
          <t>Cash-In</t>
        </is>
      </c>
      <c r="G151" s="31" t="inlineStr">
        <is>
          <t>GTBank</t>
        </is>
      </c>
      <c r="H151" s="32" t="n">
        <v>20000</v>
      </c>
      <c r="I151" s="32" t="n">
        <v>200</v>
      </c>
      <c r="J151" s="32" t="n">
        <v>50</v>
      </c>
      <c r="K151" s="32">
        <f>I151-J151</f>
        <v/>
      </c>
      <c r="L151" s="30" t="inlineStr">
        <is>
          <t>Successful</t>
        </is>
      </c>
      <c r="M151" s="31" t="inlineStr">
        <is>
          <t>None</t>
        </is>
      </c>
    </row>
    <row r="152">
      <c r="A152" s="27" t="inlineStr">
        <is>
          <t>POS-2026-0151</t>
        </is>
      </c>
      <c r="B152" s="27" t="inlineStr">
        <is>
          <t>2026-03-18 17:57:18</t>
        </is>
      </c>
      <c r="C152" s="27" t="inlineStr">
        <is>
          <t>2026-03-18</t>
        </is>
      </c>
      <c r="D152" s="28" t="inlineStr">
        <is>
          <t>Wednesday</t>
        </is>
      </c>
      <c r="E152" s="27" t="n">
        <v>17</v>
      </c>
      <c r="F152" s="28" t="inlineStr">
        <is>
          <t>Cash-In</t>
        </is>
      </c>
      <c r="G152" s="28" t="inlineStr">
        <is>
          <t>First Bank</t>
        </is>
      </c>
      <c r="H152" s="29" t="n">
        <v>20000</v>
      </c>
      <c r="I152" s="29" t="n">
        <v>200</v>
      </c>
      <c r="J152" s="29" t="n">
        <v>50</v>
      </c>
      <c r="K152" s="29">
        <f>I152-J152</f>
        <v/>
      </c>
      <c r="L152" s="27" t="inlineStr">
        <is>
          <t>Successful</t>
        </is>
      </c>
      <c r="M152" s="28" t="inlineStr">
        <is>
          <t>None</t>
        </is>
      </c>
    </row>
    <row r="153">
      <c r="A153" s="30" t="inlineStr">
        <is>
          <t>POS-2026-0152</t>
        </is>
      </c>
      <c r="B153" s="30" t="inlineStr">
        <is>
          <t>2026-03-18 11:12:39</t>
        </is>
      </c>
      <c r="C153" s="30" t="inlineStr">
        <is>
          <t>2026-03-18</t>
        </is>
      </c>
      <c r="D153" s="31" t="inlineStr">
        <is>
          <t>Wednesday</t>
        </is>
      </c>
      <c r="E153" s="30" t="n">
        <v>11</v>
      </c>
      <c r="F153" s="31" t="inlineStr">
        <is>
          <t>Cash-Out</t>
        </is>
      </c>
      <c r="G153" s="31" t="inlineStr">
        <is>
          <t>Zenith Bank</t>
        </is>
      </c>
      <c r="H153" s="32" t="n">
        <v>3000</v>
      </c>
      <c r="I153" s="32" t="n">
        <v>100</v>
      </c>
      <c r="J153" s="32" t="n">
        <v>25</v>
      </c>
      <c r="K153" s="32">
        <f>I153-J153</f>
        <v/>
      </c>
      <c r="L153" s="30" t="inlineStr">
        <is>
          <t>Successful</t>
        </is>
      </c>
      <c r="M153" s="31" t="inlineStr">
        <is>
          <t>None</t>
        </is>
      </c>
    </row>
    <row r="154">
      <c r="A154" s="27" t="inlineStr">
        <is>
          <t>POS-2026-0153</t>
        </is>
      </c>
      <c r="B154" s="27" t="inlineStr">
        <is>
          <t>2026-03-18 15:19:50</t>
        </is>
      </c>
      <c r="C154" s="27" t="inlineStr">
        <is>
          <t>2026-03-18</t>
        </is>
      </c>
      <c r="D154" s="28" t="inlineStr">
        <is>
          <t>Wednesday</t>
        </is>
      </c>
      <c r="E154" s="27" t="n">
        <v>15</v>
      </c>
      <c r="F154" s="28" t="inlineStr">
        <is>
          <t>Cash-Out</t>
        </is>
      </c>
      <c r="G154" s="28" t="inlineStr">
        <is>
          <t>OPay</t>
        </is>
      </c>
      <c r="H154" s="29" t="n">
        <v>5000</v>
      </c>
      <c r="I154" s="29" t="n">
        <v>100</v>
      </c>
      <c r="J154" s="29" t="n">
        <v>25</v>
      </c>
      <c r="K154" s="29">
        <f>I154-J154</f>
        <v/>
      </c>
      <c r="L154" s="27" t="inlineStr">
        <is>
          <t>Successful</t>
        </is>
      </c>
      <c r="M154" s="28" t="inlineStr">
        <is>
          <t>None</t>
        </is>
      </c>
    </row>
    <row r="155">
      <c r="A155" s="30" t="inlineStr">
        <is>
          <t>POS-2026-0154</t>
        </is>
      </c>
      <c r="B155" s="30" t="inlineStr">
        <is>
          <t>2026-03-18 12:47:26</t>
        </is>
      </c>
      <c r="C155" s="30" t="inlineStr">
        <is>
          <t>2026-03-18</t>
        </is>
      </c>
      <c r="D155" s="31" t="inlineStr">
        <is>
          <t>Wednesday</t>
        </is>
      </c>
      <c r="E155" s="30" t="n">
        <v>12</v>
      </c>
      <c r="F155" s="31" t="inlineStr">
        <is>
          <t>Cash-Out</t>
        </is>
      </c>
      <c r="G155" s="31" t="inlineStr">
        <is>
          <t>Zenith Bank</t>
        </is>
      </c>
      <c r="H155" s="32" t="n">
        <v>15000</v>
      </c>
      <c r="I155" s="32" t="n">
        <v>300</v>
      </c>
      <c r="J155" s="32" t="n">
        <v>80</v>
      </c>
      <c r="K155" s="32">
        <f>I155-J155</f>
        <v/>
      </c>
      <c r="L155" s="30" t="inlineStr">
        <is>
          <t>Successful</t>
        </is>
      </c>
      <c r="M155" s="31" t="inlineStr">
        <is>
          <t>None</t>
        </is>
      </c>
    </row>
    <row r="156">
      <c r="A156" s="27" t="inlineStr">
        <is>
          <t>POS-2026-0155</t>
        </is>
      </c>
      <c r="B156" s="27" t="inlineStr">
        <is>
          <t>2026-03-18 19:53:10</t>
        </is>
      </c>
      <c r="C156" s="27" t="inlineStr">
        <is>
          <t>2026-03-18</t>
        </is>
      </c>
      <c r="D156" s="28" t="inlineStr">
        <is>
          <t>Wednesday</t>
        </is>
      </c>
      <c r="E156" s="27" t="n">
        <v>19</v>
      </c>
      <c r="F156" s="28" t="inlineStr">
        <is>
          <t>Cash-Out</t>
        </is>
      </c>
      <c r="G156" s="28" t="inlineStr">
        <is>
          <t>UBA</t>
        </is>
      </c>
      <c r="H156" s="29" t="n">
        <v>10000</v>
      </c>
      <c r="I156" s="29" t="n">
        <v>200</v>
      </c>
      <c r="J156" s="29" t="n">
        <v>50</v>
      </c>
      <c r="K156" s="29">
        <f>I156-J156</f>
        <v/>
      </c>
      <c r="L156" s="27" t="inlineStr">
        <is>
          <t>Successful</t>
        </is>
      </c>
      <c r="M156" s="28" t="inlineStr">
        <is>
          <t>None</t>
        </is>
      </c>
    </row>
    <row r="157">
      <c r="A157" s="30" t="inlineStr">
        <is>
          <t>POS-2026-0156</t>
        </is>
      </c>
      <c r="B157" s="30" t="inlineStr">
        <is>
          <t>2026-03-18 12:07:29</t>
        </is>
      </c>
      <c r="C157" s="30" t="inlineStr">
        <is>
          <t>2026-03-18</t>
        </is>
      </c>
      <c r="D157" s="31" t="inlineStr">
        <is>
          <t>Wednesday</t>
        </is>
      </c>
      <c r="E157" s="30" t="n">
        <v>12</v>
      </c>
      <c r="F157" s="31" t="inlineStr">
        <is>
          <t>Airtime</t>
        </is>
      </c>
      <c r="G157" s="31" t="inlineStr">
        <is>
          <t>Zenith Bank</t>
        </is>
      </c>
      <c r="H157" s="32" t="n">
        <v>1000</v>
      </c>
      <c r="I157" s="32" t="n">
        <v>20</v>
      </c>
      <c r="J157" s="32" t="n">
        <v>5</v>
      </c>
      <c r="K157" s="32">
        <f>I157-J157</f>
        <v/>
      </c>
      <c r="L157" s="30" t="inlineStr">
        <is>
          <t>Successful</t>
        </is>
      </c>
      <c r="M157" s="31" t="inlineStr">
        <is>
          <t>None</t>
        </is>
      </c>
    </row>
    <row r="158">
      <c r="A158" s="27" t="inlineStr">
        <is>
          <t>POS-2026-0157</t>
        </is>
      </c>
      <c r="B158" s="27" t="inlineStr">
        <is>
          <t>2026-03-18 16:25:54</t>
        </is>
      </c>
      <c r="C158" s="27" t="inlineStr">
        <is>
          <t>2026-03-18</t>
        </is>
      </c>
      <c r="D158" s="28" t="inlineStr">
        <is>
          <t>Wednesday</t>
        </is>
      </c>
      <c r="E158" s="27" t="n">
        <v>16</v>
      </c>
      <c r="F158" s="28" t="inlineStr">
        <is>
          <t>Bill Payment</t>
        </is>
      </c>
      <c r="G158" s="28" t="inlineStr">
        <is>
          <t>OPay</t>
        </is>
      </c>
      <c r="H158" s="29" t="n">
        <v>2000</v>
      </c>
      <c r="I158" s="29" t="n">
        <v>150</v>
      </c>
      <c r="J158" s="29" t="n">
        <v>50</v>
      </c>
      <c r="K158" s="29">
        <f>I158-J158</f>
        <v/>
      </c>
      <c r="L158" s="27" t="inlineStr">
        <is>
          <t>Successful</t>
        </is>
      </c>
      <c r="M158" s="28" t="inlineStr">
        <is>
          <t>None</t>
        </is>
      </c>
    </row>
    <row r="159">
      <c r="A159" s="30" t="inlineStr">
        <is>
          <t>POS-2026-0158</t>
        </is>
      </c>
      <c r="B159" s="30" t="inlineStr">
        <is>
          <t>2026-03-19 11:07:29</t>
        </is>
      </c>
      <c r="C159" s="30" t="inlineStr">
        <is>
          <t>2026-03-19</t>
        </is>
      </c>
      <c r="D159" s="31" t="inlineStr">
        <is>
          <t>Thursday</t>
        </is>
      </c>
      <c r="E159" s="30" t="n">
        <v>11</v>
      </c>
      <c r="F159" s="31" t="inlineStr">
        <is>
          <t>Cash-Out</t>
        </is>
      </c>
      <c r="G159" s="31" t="inlineStr">
        <is>
          <t>Kuda Bank</t>
        </is>
      </c>
      <c r="H159" s="32" t="n">
        <v>20000</v>
      </c>
      <c r="I159" s="32" t="n">
        <v>300</v>
      </c>
      <c r="J159" s="32" t="n">
        <v>80</v>
      </c>
      <c r="K159" s="32">
        <f>I159-J159</f>
        <v/>
      </c>
      <c r="L159" s="30" t="inlineStr">
        <is>
          <t>Successful</t>
        </is>
      </c>
      <c r="M159" s="31" t="inlineStr">
        <is>
          <t>None</t>
        </is>
      </c>
    </row>
    <row r="160">
      <c r="A160" s="27" t="inlineStr">
        <is>
          <t>POS-2026-0159</t>
        </is>
      </c>
      <c r="B160" s="27" t="inlineStr">
        <is>
          <t>2026-03-19 19:06:43</t>
        </is>
      </c>
      <c r="C160" s="27" t="inlineStr">
        <is>
          <t>2026-03-19</t>
        </is>
      </c>
      <c r="D160" s="28" t="inlineStr">
        <is>
          <t>Thursday</t>
        </is>
      </c>
      <c r="E160" s="27" t="n">
        <v>19</v>
      </c>
      <c r="F160" s="28" t="inlineStr">
        <is>
          <t>Cash-Out</t>
        </is>
      </c>
      <c r="G160" s="28" t="inlineStr">
        <is>
          <t>GTBank</t>
        </is>
      </c>
      <c r="H160" s="29" t="n">
        <v>15000</v>
      </c>
      <c r="I160" s="29" t="n">
        <v>0</v>
      </c>
      <c r="J160" s="29" t="n">
        <v>0</v>
      </c>
      <c r="K160" s="29">
        <f>I160-J160</f>
        <v/>
      </c>
      <c r="L160" s="27" t="inlineStr">
        <is>
          <t>Failed</t>
        </is>
      </c>
      <c r="M160" s="28" t="inlineStr">
        <is>
          <t>Issuer Bank Down</t>
        </is>
      </c>
    </row>
    <row r="161">
      <c r="A161" s="30" t="inlineStr">
        <is>
          <t>POS-2026-0160</t>
        </is>
      </c>
      <c r="B161" s="30" t="inlineStr">
        <is>
          <t>2026-03-19 15:40:52</t>
        </is>
      </c>
      <c r="C161" s="30" t="inlineStr">
        <is>
          <t>2026-03-19</t>
        </is>
      </c>
      <c r="D161" s="31" t="inlineStr">
        <is>
          <t>Thursday</t>
        </is>
      </c>
      <c r="E161" s="30" t="n">
        <v>15</v>
      </c>
      <c r="F161" s="31" t="inlineStr">
        <is>
          <t>Cash-Out</t>
        </is>
      </c>
      <c r="G161" s="31" t="inlineStr">
        <is>
          <t>Kuda Bank</t>
        </is>
      </c>
      <c r="H161" s="32" t="n">
        <v>20000</v>
      </c>
      <c r="I161" s="32" t="n">
        <v>300</v>
      </c>
      <c r="J161" s="32" t="n">
        <v>80</v>
      </c>
      <c r="K161" s="32">
        <f>I161-J161</f>
        <v/>
      </c>
      <c r="L161" s="30" t="inlineStr">
        <is>
          <t>Successful</t>
        </is>
      </c>
      <c r="M161" s="31" t="inlineStr">
        <is>
          <t>None</t>
        </is>
      </c>
    </row>
    <row r="162">
      <c r="A162" s="27" t="inlineStr">
        <is>
          <t>POS-2026-0161</t>
        </is>
      </c>
      <c r="B162" s="27" t="inlineStr">
        <is>
          <t>2026-03-19 08:02:19</t>
        </is>
      </c>
      <c r="C162" s="27" t="inlineStr">
        <is>
          <t>2026-03-19</t>
        </is>
      </c>
      <c r="D162" s="28" t="inlineStr">
        <is>
          <t>Thursday</t>
        </is>
      </c>
      <c r="E162" s="27" t="n">
        <v>8</v>
      </c>
      <c r="F162" s="28" t="inlineStr">
        <is>
          <t>Airtime</t>
        </is>
      </c>
      <c r="G162" s="28" t="inlineStr">
        <is>
          <t>Access Bank</t>
        </is>
      </c>
      <c r="H162" s="29" t="n">
        <v>500</v>
      </c>
      <c r="I162" s="29" t="n">
        <v>10</v>
      </c>
      <c r="J162" s="29" t="n">
        <v>2</v>
      </c>
      <c r="K162" s="29">
        <f>I162-J162</f>
        <v/>
      </c>
      <c r="L162" s="27" t="inlineStr">
        <is>
          <t>Successful</t>
        </is>
      </c>
      <c r="M162" s="28" t="inlineStr">
        <is>
          <t>None</t>
        </is>
      </c>
    </row>
    <row r="163">
      <c r="A163" s="30" t="inlineStr">
        <is>
          <t>POS-2026-0162</t>
        </is>
      </c>
      <c r="B163" s="30" t="inlineStr">
        <is>
          <t>2026-03-19 14:24:29</t>
        </is>
      </c>
      <c r="C163" s="30" t="inlineStr">
        <is>
          <t>2026-03-19</t>
        </is>
      </c>
      <c r="D163" s="31" t="inlineStr">
        <is>
          <t>Thursday</t>
        </is>
      </c>
      <c r="E163" s="30" t="n">
        <v>14</v>
      </c>
      <c r="F163" s="31" t="inlineStr">
        <is>
          <t>Cash-Out</t>
        </is>
      </c>
      <c r="G163" s="31" t="inlineStr">
        <is>
          <t>Moniepoint</t>
        </is>
      </c>
      <c r="H163" s="32" t="n">
        <v>5000</v>
      </c>
      <c r="I163" s="32" t="n">
        <v>100</v>
      </c>
      <c r="J163" s="32" t="n">
        <v>25</v>
      </c>
      <c r="K163" s="32">
        <f>I163-J163</f>
        <v/>
      </c>
      <c r="L163" s="30" t="inlineStr">
        <is>
          <t>Successful</t>
        </is>
      </c>
      <c r="M163" s="31" t="inlineStr">
        <is>
          <t>None</t>
        </is>
      </c>
    </row>
    <row r="164">
      <c r="A164" s="27" t="inlineStr">
        <is>
          <t>POS-2026-0163</t>
        </is>
      </c>
      <c r="B164" s="27" t="inlineStr">
        <is>
          <t>2026-03-19 15:53:31</t>
        </is>
      </c>
      <c r="C164" s="27" t="inlineStr">
        <is>
          <t>2026-03-19</t>
        </is>
      </c>
      <c r="D164" s="28" t="inlineStr">
        <is>
          <t>Thursday</t>
        </is>
      </c>
      <c r="E164" s="27" t="n">
        <v>15</v>
      </c>
      <c r="F164" s="28" t="inlineStr">
        <is>
          <t>Cash-In</t>
        </is>
      </c>
      <c r="G164" s="28" t="inlineStr">
        <is>
          <t>Kuda Bank</t>
        </is>
      </c>
      <c r="H164" s="29" t="n">
        <v>3000</v>
      </c>
      <c r="I164" s="29" t="n">
        <v>100</v>
      </c>
      <c r="J164" s="29" t="n">
        <v>30</v>
      </c>
      <c r="K164" s="29">
        <f>I164-J164</f>
        <v/>
      </c>
      <c r="L164" s="27" t="inlineStr">
        <is>
          <t>Successful</t>
        </is>
      </c>
      <c r="M164" s="28" t="inlineStr">
        <is>
          <t>None</t>
        </is>
      </c>
    </row>
    <row r="165">
      <c r="A165" s="30" t="inlineStr">
        <is>
          <t>POS-2026-0164</t>
        </is>
      </c>
      <c r="B165" s="30" t="inlineStr">
        <is>
          <t>2026-03-19 11:28:15</t>
        </is>
      </c>
      <c r="C165" s="30" t="inlineStr">
        <is>
          <t>2026-03-19</t>
        </is>
      </c>
      <c r="D165" s="31" t="inlineStr">
        <is>
          <t>Thursday</t>
        </is>
      </c>
      <c r="E165" s="30" t="n">
        <v>11</v>
      </c>
      <c r="F165" s="31" t="inlineStr">
        <is>
          <t>Bill Payment</t>
        </is>
      </c>
      <c r="G165" s="31" t="inlineStr">
        <is>
          <t>Access Bank</t>
        </is>
      </c>
      <c r="H165" s="32" t="n">
        <v>6000</v>
      </c>
      <c r="I165" s="32" t="n">
        <v>150</v>
      </c>
      <c r="J165" s="32" t="n">
        <v>50</v>
      </c>
      <c r="K165" s="32">
        <f>I165-J165</f>
        <v/>
      </c>
      <c r="L165" s="30" t="inlineStr">
        <is>
          <t>Successful</t>
        </is>
      </c>
      <c r="M165" s="31" t="inlineStr">
        <is>
          <t>None</t>
        </is>
      </c>
    </row>
    <row r="166">
      <c r="A166" s="27" t="inlineStr">
        <is>
          <t>POS-2026-0165</t>
        </is>
      </c>
      <c r="B166" s="27" t="inlineStr">
        <is>
          <t>2026-03-20 08:17:12</t>
        </is>
      </c>
      <c r="C166" s="27" t="inlineStr">
        <is>
          <t>2026-03-20</t>
        </is>
      </c>
      <c r="D166" s="28" t="inlineStr">
        <is>
          <t>Friday</t>
        </is>
      </c>
      <c r="E166" s="27" t="n">
        <v>8</v>
      </c>
      <c r="F166" s="28" t="inlineStr">
        <is>
          <t>Airtime</t>
        </is>
      </c>
      <c r="G166" s="28" t="inlineStr">
        <is>
          <t>UBA</t>
        </is>
      </c>
      <c r="H166" s="29" t="n">
        <v>500</v>
      </c>
      <c r="I166" s="29" t="n">
        <v>10</v>
      </c>
      <c r="J166" s="29" t="n">
        <v>2</v>
      </c>
      <c r="K166" s="29">
        <f>I166-J166</f>
        <v/>
      </c>
      <c r="L166" s="27" t="inlineStr">
        <is>
          <t>Successful</t>
        </is>
      </c>
      <c r="M166" s="28" t="inlineStr">
        <is>
          <t>None</t>
        </is>
      </c>
    </row>
    <row r="167">
      <c r="A167" s="30" t="inlineStr">
        <is>
          <t>POS-2026-0166</t>
        </is>
      </c>
      <c r="B167" s="30" t="inlineStr">
        <is>
          <t>2026-03-20 15:38:01</t>
        </is>
      </c>
      <c r="C167" s="30" t="inlineStr">
        <is>
          <t>2026-03-20</t>
        </is>
      </c>
      <c r="D167" s="31" t="inlineStr">
        <is>
          <t>Friday</t>
        </is>
      </c>
      <c r="E167" s="30" t="n">
        <v>15</v>
      </c>
      <c r="F167" s="31" t="inlineStr">
        <is>
          <t>Cash-Out</t>
        </is>
      </c>
      <c r="G167" s="31" t="inlineStr">
        <is>
          <t>OPay</t>
        </is>
      </c>
      <c r="H167" s="32" t="n">
        <v>7000</v>
      </c>
      <c r="I167" s="32" t="n">
        <v>0</v>
      </c>
      <c r="J167" s="32" t="n">
        <v>0</v>
      </c>
      <c r="K167" s="32">
        <f>I167-J167</f>
        <v/>
      </c>
      <c r="L167" s="30" t="inlineStr">
        <is>
          <t>Failed</t>
        </is>
      </c>
      <c r="M167" s="31" t="inlineStr">
        <is>
          <t>Issuer Bank Down</t>
        </is>
      </c>
    </row>
    <row r="168">
      <c r="A168" s="27" t="inlineStr">
        <is>
          <t>POS-2026-0167</t>
        </is>
      </c>
      <c r="B168" s="27" t="inlineStr">
        <is>
          <t>2026-03-20 08:48:35</t>
        </is>
      </c>
      <c r="C168" s="27" t="inlineStr">
        <is>
          <t>2026-03-20</t>
        </is>
      </c>
      <c r="D168" s="28" t="inlineStr">
        <is>
          <t>Friday</t>
        </is>
      </c>
      <c r="E168" s="27" t="n">
        <v>8</v>
      </c>
      <c r="F168" s="28" t="inlineStr">
        <is>
          <t>Cash-Out</t>
        </is>
      </c>
      <c r="G168" s="28" t="inlineStr">
        <is>
          <t>First Bank</t>
        </is>
      </c>
      <c r="H168" s="29" t="n">
        <v>7000</v>
      </c>
      <c r="I168" s="29" t="n">
        <v>200</v>
      </c>
      <c r="J168" s="29" t="n">
        <v>50</v>
      </c>
      <c r="K168" s="29">
        <f>I168-J168</f>
        <v/>
      </c>
      <c r="L168" s="27" t="inlineStr">
        <is>
          <t>Successful</t>
        </is>
      </c>
      <c r="M168" s="28" t="inlineStr">
        <is>
          <t>None</t>
        </is>
      </c>
    </row>
    <row r="169">
      <c r="A169" s="30" t="inlineStr">
        <is>
          <t>POS-2026-0168</t>
        </is>
      </c>
      <c r="B169" s="30" t="inlineStr">
        <is>
          <t>2026-03-20 10:57:38</t>
        </is>
      </c>
      <c r="C169" s="30" t="inlineStr">
        <is>
          <t>2026-03-20</t>
        </is>
      </c>
      <c r="D169" s="31" t="inlineStr">
        <is>
          <t>Friday</t>
        </is>
      </c>
      <c r="E169" s="30" t="n">
        <v>10</v>
      </c>
      <c r="F169" s="31" t="inlineStr">
        <is>
          <t>Cash-Out</t>
        </is>
      </c>
      <c r="G169" s="31" t="inlineStr">
        <is>
          <t>Zenith Bank</t>
        </is>
      </c>
      <c r="H169" s="32" t="n">
        <v>5000</v>
      </c>
      <c r="I169" s="32" t="n">
        <v>100</v>
      </c>
      <c r="J169" s="32" t="n">
        <v>25</v>
      </c>
      <c r="K169" s="32">
        <f>I169-J169</f>
        <v/>
      </c>
      <c r="L169" s="30" t="inlineStr">
        <is>
          <t>Successful</t>
        </is>
      </c>
      <c r="M169" s="31" t="inlineStr">
        <is>
          <t>None</t>
        </is>
      </c>
    </row>
    <row r="170">
      <c r="A170" s="27" t="inlineStr">
        <is>
          <t>POS-2026-0169</t>
        </is>
      </c>
      <c r="B170" s="27" t="inlineStr">
        <is>
          <t>2026-03-20 17:07:42</t>
        </is>
      </c>
      <c r="C170" s="27" t="inlineStr">
        <is>
          <t>2026-03-20</t>
        </is>
      </c>
      <c r="D170" s="28" t="inlineStr">
        <is>
          <t>Friday</t>
        </is>
      </c>
      <c r="E170" s="27" t="n">
        <v>17</v>
      </c>
      <c r="F170" s="28" t="inlineStr">
        <is>
          <t>Bill Payment</t>
        </is>
      </c>
      <c r="G170" s="28" t="inlineStr">
        <is>
          <t>Zenith Bank</t>
        </is>
      </c>
      <c r="H170" s="29" t="n">
        <v>2000</v>
      </c>
      <c r="I170" s="29" t="n">
        <v>150</v>
      </c>
      <c r="J170" s="29" t="n">
        <v>50</v>
      </c>
      <c r="K170" s="29">
        <f>I170-J170</f>
        <v/>
      </c>
      <c r="L170" s="27" t="inlineStr">
        <is>
          <t>Successful</t>
        </is>
      </c>
      <c r="M170" s="28" t="inlineStr">
        <is>
          <t>None</t>
        </is>
      </c>
    </row>
    <row r="171">
      <c r="A171" s="30" t="inlineStr">
        <is>
          <t>POS-2026-0170</t>
        </is>
      </c>
      <c r="B171" s="30" t="inlineStr">
        <is>
          <t>2026-03-20 16:37:20</t>
        </is>
      </c>
      <c r="C171" s="30" t="inlineStr">
        <is>
          <t>2026-03-20</t>
        </is>
      </c>
      <c r="D171" s="31" t="inlineStr">
        <is>
          <t>Friday</t>
        </is>
      </c>
      <c r="E171" s="30" t="n">
        <v>16</v>
      </c>
      <c r="F171" s="31" t="inlineStr">
        <is>
          <t>Cash-Out</t>
        </is>
      </c>
      <c r="G171" s="31" t="inlineStr">
        <is>
          <t>Kuda Bank</t>
        </is>
      </c>
      <c r="H171" s="32" t="n">
        <v>2000</v>
      </c>
      <c r="I171" s="32" t="n">
        <v>100</v>
      </c>
      <c r="J171" s="32" t="n">
        <v>25</v>
      </c>
      <c r="K171" s="32">
        <f>I171-J171</f>
        <v/>
      </c>
      <c r="L171" s="30" t="inlineStr">
        <is>
          <t>Successful</t>
        </is>
      </c>
      <c r="M171" s="31" t="inlineStr">
        <is>
          <t>None</t>
        </is>
      </c>
    </row>
    <row r="172">
      <c r="A172" s="27" t="inlineStr">
        <is>
          <t>POS-2026-0171</t>
        </is>
      </c>
      <c r="B172" s="27" t="inlineStr">
        <is>
          <t>2026-03-20 13:07:47</t>
        </is>
      </c>
      <c r="C172" s="27" t="inlineStr">
        <is>
          <t>2026-03-20</t>
        </is>
      </c>
      <c r="D172" s="28" t="inlineStr">
        <is>
          <t>Friday</t>
        </is>
      </c>
      <c r="E172" s="27" t="n">
        <v>13</v>
      </c>
      <c r="F172" s="28" t="inlineStr">
        <is>
          <t>Cash-Out</t>
        </is>
      </c>
      <c r="G172" s="28" t="inlineStr">
        <is>
          <t>UBA</t>
        </is>
      </c>
      <c r="H172" s="29" t="n">
        <v>15000</v>
      </c>
      <c r="I172" s="29" t="n">
        <v>300</v>
      </c>
      <c r="J172" s="29" t="n">
        <v>80</v>
      </c>
      <c r="K172" s="29">
        <f>I172-J172</f>
        <v/>
      </c>
      <c r="L172" s="27" t="inlineStr">
        <is>
          <t>Successful</t>
        </is>
      </c>
      <c r="M172" s="28" t="inlineStr">
        <is>
          <t>None</t>
        </is>
      </c>
    </row>
    <row r="173">
      <c r="A173" s="30" t="inlineStr">
        <is>
          <t>POS-2026-0172</t>
        </is>
      </c>
      <c r="B173" s="30" t="inlineStr">
        <is>
          <t>2026-03-20 09:32:14</t>
        </is>
      </c>
      <c r="C173" s="30" t="inlineStr">
        <is>
          <t>2026-03-20</t>
        </is>
      </c>
      <c r="D173" s="31" t="inlineStr">
        <is>
          <t>Friday</t>
        </is>
      </c>
      <c r="E173" s="30" t="n">
        <v>9</v>
      </c>
      <c r="F173" s="31" t="inlineStr">
        <is>
          <t>Airtime</t>
        </is>
      </c>
      <c r="G173" s="31" t="inlineStr">
        <is>
          <t>GTBank</t>
        </is>
      </c>
      <c r="H173" s="32" t="n">
        <v>2000</v>
      </c>
      <c r="I173" s="32" t="n">
        <v>40</v>
      </c>
      <c r="J173" s="32" t="n">
        <v>10</v>
      </c>
      <c r="K173" s="32">
        <f>I173-J173</f>
        <v/>
      </c>
      <c r="L173" s="30" t="inlineStr">
        <is>
          <t>Successful</t>
        </is>
      </c>
      <c r="M173" s="31" t="inlineStr">
        <is>
          <t>None</t>
        </is>
      </c>
    </row>
    <row r="174">
      <c r="A174" s="27" t="inlineStr">
        <is>
          <t>POS-2026-0173</t>
        </is>
      </c>
      <c r="B174" s="27" t="inlineStr">
        <is>
          <t>2026-03-20 20:03:30</t>
        </is>
      </c>
      <c r="C174" s="27" t="inlineStr">
        <is>
          <t>2026-03-20</t>
        </is>
      </c>
      <c r="D174" s="28" t="inlineStr">
        <is>
          <t>Friday</t>
        </is>
      </c>
      <c r="E174" s="27" t="n">
        <v>20</v>
      </c>
      <c r="F174" s="28" t="inlineStr">
        <is>
          <t>Bill Payment</t>
        </is>
      </c>
      <c r="G174" s="28" t="inlineStr">
        <is>
          <t>Moniepoint</t>
        </is>
      </c>
      <c r="H174" s="29" t="n">
        <v>2000</v>
      </c>
      <c r="I174" s="29" t="n">
        <v>150</v>
      </c>
      <c r="J174" s="29" t="n">
        <v>50</v>
      </c>
      <c r="K174" s="29">
        <f>I174-J174</f>
        <v/>
      </c>
      <c r="L174" s="27" t="inlineStr">
        <is>
          <t>Successful</t>
        </is>
      </c>
      <c r="M174" s="28" t="inlineStr">
        <is>
          <t>None</t>
        </is>
      </c>
    </row>
    <row r="175">
      <c r="A175" s="30" t="inlineStr">
        <is>
          <t>POS-2026-0174</t>
        </is>
      </c>
      <c r="B175" s="30" t="inlineStr">
        <is>
          <t>2026-03-21 08:05:20</t>
        </is>
      </c>
      <c r="C175" s="30" t="inlineStr">
        <is>
          <t>2026-03-21</t>
        </is>
      </c>
      <c r="D175" s="31" t="inlineStr">
        <is>
          <t>Saturday</t>
        </is>
      </c>
      <c r="E175" s="30" t="n">
        <v>8</v>
      </c>
      <c r="F175" s="31" t="inlineStr">
        <is>
          <t>Cash-In</t>
        </is>
      </c>
      <c r="G175" s="31" t="inlineStr">
        <is>
          <t>Access Bank</t>
        </is>
      </c>
      <c r="H175" s="32" t="n">
        <v>5000</v>
      </c>
      <c r="I175" s="32" t="n">
        <v>100</v>
      </c>
      <c r="J175" s="32" t="n">
        <v>30</v>
      </c>
      <c r="K175" s="32">
        <f>I175-J175</f>
        <v/>
      </c>
      <c r="L175" s="30" t="inlineStr">
        <is>
          <t>Successful</t>
        </is>
      </c>
      <c r="M175" s="31" t="inlineStr">
        <is>
          <t>None</t>
        </is>
      </c>
    </row>
    <row r="176">
      <c r="A176" s="27" t="inlineStr">
        <is>
          <t>POS-2026-0175</t>
        </is>
      </c>
      <c r="B176" s="27" t="inlineStr">
        <is>
          <t>2026-03-21 15:35:45</t>
        </is>
      </c>
      <c r="C176" s="27" t="inlineStr">
        <is>
          <t>2026-03-21</t>
        </is>
      </c>
      <c r="D176" s="28" t="inlineStr">
        <is>
          <t>Saturday</t>
        </is>
      </c>
      <c r="E176" s="27" t="n">
        <v>15</v>
      </c>
      <c r="F176" s="28" t="inlineStr">
        <is>
          <t>Cash-Out</t>
        </is>
      </c>
      <c r="G176" s="28" t="inlineStr">
        <is>
          <t>Kuda Bank</t>
        </is>
      </c>
      <c r="H176" s="29" t="n">
        <v>25000</v>
      </c>
      <c r="I176" s="29" t="n">
        <v>300</v>
      </c>
      <c r="J176" s="29" t="n">
        <v>80</v>
      </c>
      <c r="K176" s="29">
        <f>I176-J176</f>
        <v/>
      </c>
      <c r="L176" s="27" t="inlineStr">
        <is>
          <t>Successful</t>
        </is>
      </c>
      <c r="M176" s="28" t="inlineStr">
        <is>
          <t>None</t>
        </is>
      </c>
    </row>
    <row r="177">
      <c r="A177" s="30" t="inlineStr">
        <is>
          <t>POS-2026-0176</t>
        </is>
      </c>
      <c r="B177" s="30" t="inlineStr">
        <is>
          <t>2026-03-21 13:50:44</t>
        </is>
      </c>
      <c r="C177" s="30" t="inlineStr">
        <is>
          <t>2026-03-21</t>
        </is>
      </c>
      <c r="D177" s="31" t="inlineStr">
        <is>
          <t>Saturday</t>
        </is>
      </c>
      <c r="E177" s="30" t="n">
        <v>13</v>
      </c>
      <c r="F177" s="31" t="inlineStr">
        <is>
          <t>Cash-Out</t>
        </is>
      </c>
      <c r="G177" s="31" t="inlineStr">
        <is>
          <t>First Bank</t>
        </is>
      </c>
      <c r="H177" s="32" t="n">
        <v>20000</v>
      </c>
      <c r="I177" s="32" t="n">
        <v>300</v>
      </c>
      <c r="J177" s="32" t="n">
        <v>80</v>
      </c>
      <c r="K177" s="32">
        <f>I177-J177</f>
        <v/>
      </c>
      <c r="L177" s="30" t="inlineStr">
        <is>
          <t>Successful</t>
        </is>
      </c>
      <c r="M177" s="31" t="inlineStr">
        <is>
          <t>None</t>
        </is>
      </c>
    </row>
    <row r="178">
      <c r="A178" s="27" t="inlineStr">
        <is>
          <t>POS-2026-0177</t>
        </is>
      </c>
      <c r="B178" s="27" t="inlineStr">
        <is>
          <t>2026-03-21 11:21:52</t>
        </is>
      </c>
      <c r="C178" s="27" t="inlineStr">
        <is>
          <t>2026-03-21</t>
        </is>
      </c>
      <c r="D178" s="28" t="inlineStr">
        <is>
          <t>Saturday</t>
        </is>
      </c>
      <c r="E178" s="27" t="n">
        <v>11</v>
      </c>
      <c r="F178" s="28" t="inlineStr">
        <is>
          <t>Cash-Out</t>
        </is>
      </c>
      <c r="G178" s="28" t="inlineStr">
        <is>
          <t>Moniepoint</t>
        </is>
      </c>
      <c r="H178" s="29" t="n">
        <v>3000</v>
      </c>
      <c r="I178" s="29" t="n">
        <v>100</v>
      </c>
      <c r="J178" s="29" t="n">
        <v>25</v>
      </c>
      <c r="K178" s="29">
        <f>I178-J178</f>
        <v/>
      </c>
      <c r="L178" s="27" t="inlineStr">
        <is>
          <t>Successful</t>
        </is>
      </c>
      <c r="M178" s="28" t="inlineStr">
        <is>
          <t>None</t>
        </is>
      </c>
    </row>
    <row r="179">
      <c r="A179" s="30" t="inlineStr">
        <is>
          <t>POS-2026-0178</t>
        </is>
      </c>
      <c r="B179" s="30" t="inlineStr">
        <is>
          <t>2026-03-21 12:16:23</t>
        </is>
      </c>
      <c r="C179" s="30" t="inlineStr">
        <is>
          <t>2026-03-21</t>
        </is>
      </c>
      <c r="D179" s="31" t="inlineStr">
        <is>
          <t>Saturday</t>
        </is>
      </c>
      <c r="E179" s="30" t="n">
        <v>12</v>
      </c>
      <c r="F179" s="31" t="inlineStr">
        <is>
          <t>Airtime</t>
        </is>
      </c>
      <c r="G179" s="31" t="inlineStr">
        <is>
          <t>UBA</t>
        </is>
      </c>
      <c r="H179" s="32" t="n">
        <v>500</v>
      </c>
      <c r="I179" s="32" t="n">
        <v>10</v>
      </c>
      <c r="J179" s="32" t="n">
        <v>2</v>
      </c>
      <c r="K179" s="32">
        <f>I179-J179</f>
        <v/>
      </c>
      <c r="L179" s="30" t="inlineStr">
        <is>
          <t>Successful</t>
        </is>
      </c>
      <c r="M179" s="31" t="inlineStr">
        <is>
          <t>None</t>
        </is>
      </c>
    </row>
    <row r="180">
      <c r="A180" s="27" t="inlineStr">
        <is>
          <t>POS-2026-0179</t>
        </is>
      </c>
      <c r="B180" s="27" t="inlineStr">
        <is>
          <t>2026-03-21 09:27:06</t>
        </is>
      </c>
      <c r="C180" s="27" t="inlineStr">
        <is>
          <t>2026-03-21</t>
        </is>
      </c>
      <c r="D180" s="28" t="inlineStr">
        <is>
          <t>Saturday</t>
        </is>
      </c>
      <c r="E180" s="27" t="n">
        <v>9</v>
      </c>
      <c r="F180" s="28" t="inlineStr">
        <is>
          <t>Cash-In</t>
        </is>
      </c>
      <c r="G180" s="28" t="inlineStr">
        <is>
          <t>OPay</t>
        </is>
      </c>
      <c r="H180" s="29" t="n">
        <v>50000</v>
      </c>
      <c r="I180" s="29" t="n">
        <v>200</v>
      </c>
      <c r="J180" s="29" t="n">
        <v>50</v>
      </c>
      <c r="K180" s="29">
        <f>I180-J180</f>
        <v/>
      </c>
      <c r="L180" s="27" t="inlineStr">
        <is>
          <t>Successful</t>
        </is>
      </c>
      <c r="M180" s="28" t="inlineStr">
        <is>
          <t>None</t>
        </is>
      </c>
    </row>
    <row r="181">
      <c r="A181" s="30" t="inlineStr">
        <is>
          <t>POS-2026-0180</t>
        </is>
      </c>
      <c r="B181" s="30" t="inlineStr">
        <is>
          <t>2026-03-21 08:35:35</t>
        </is>
      </c>
      <c r="C181" s="30" t="inlineStr">
        <is>
          <t>2026-03-21</t>
        </is>
      </c>
      <c r="D181" s="31" t="inlineStr">
        <is>
          <t>Saturday</t>
        </is>
      </c>
      <c r="E181" s="30" t="n">
        <v>8</v>
      </c>
      <c r="F181" s="31" t="inlineStr">
        <is>
          <t>Cash-Out</t>
        </is>
      </c>
      <c r="G181" s="31" t="inlineStr">
        <is>
          <t>Access Bank</t>
        </is>
      </c>
      <c r="H181" s="32" t="n">
        <v>20000</v>
      </c>
      <c r="I181" s="32" t="n">
        <v>300</v>
      </c>
      <c r="J181" s="32" t="n">
        <v>80</v>
      </c>
      <c r="K181" s="32">
        <f>I181-J181</f>
        <v/>
      </c>
      <c r="L181" s="30" t="inlineStr">
        <is>
          <t>Successful</t>
        </is>
      </c>
      <c r="M181" s="31" t="inlineStr">
        <is>
          <t>None</t>
        </is>
      </c>
    </row>
    <row r="182">
      <c r="A182" s="27" t="inlineStr">
        <is>
          <t>POS-2026-0181</t>
        </is>
      </c>
      <c r="B182" s="27" t="inlineStr">
        <is>
          <t>2026-03-21 15:48:27</t>
        </is>
      </c>
      <c r="C182" s="27" t="inlineStr">
        <is>
          <t>2026-03-21</t>
        </is>
      </c>
      <c r="D182" s="28" t="inlineStr">
        <is>
          <t>Saturday</t>
        </is>
      </c>
      <c r="E182" s="27" t="n">
        <v>15</v>
      </c>
      <c r="F182" s="28" t="inlineStr">
        <is>
          <t>Bill Payment</t>
        </is>
      </c>
      <c r="G182" s="28" t="inlineStr">
        <is>
          <t>GTBank</t>
        </is>
      </c>
      <c r="H182" s="29" t="n">
        <v>6000</v>
      </c>
      <c r="I182" s="29" t="n">
        <v>150</v>
      </c>
      <c r="J182" s="29" t="n">
        <v>50</v>
      </c>
      <c r="K182" s="29">
        <f>I182-J182</f>
        <v/>
      </c>
      <c r="L182" s="27" t="inlineStr">
        <is>
          <t>Successful</t>
        </is>
      </c>
      <c r="M182" s="28" t="inlineStr">
        <is>
          <t>None</t>
        </is>
      </c>
    </row>
    <row r="183">
      <c r="A183" s="30" t="inlineStr">
        <is>
          <t>POS-2026-0182</t>
        </is>
      </c>
      <c r="B183" s="30" t="inlineStr">
        <is>
          <t>2026-03-21 12:36:32</t>
        </is>
      </c>
      <c r="C183" s="30" t="inlineStr">
        <is>
          <t>2026-03-21</t>
        </is>
      </c>
      <c r="D183" s="31" t="inlineStr">
        <is>
          <t>Saturday</t>
        </is>
      </c>
      <c r="E183" s="30" t="n">
        <v>12</v>
      </c>
      <c r="F183" s="31" t="inlineStr">
        <is>
          <t>Cash-Out</t>
        </is>
      </c>
      <c r="G183" s="31" t="inlineStr">
        <is>
          <t>UBA</t>
        </is>
      </c>
      <c r="H183" s="32" t="n">
        <v>7000</v>
      </c>
      <c r="I183" s="32" t="n">
        <v>200</v>
      </c>
      <c r="J183" s="32" t="n">
        <v>50</v>
      </c>
      <c r="K183" s="32">
        <f>I183-J183</f>
        <v/>
      </c>
      <c r="L183" s="30" t="inlineStr">
        <is>
          <t>Successful</t>
        </is>
      </c>
      <c r="M183" s="31" t="inlineStr">
        <is>
          <t>None</t>
        </is>
      </c>
    </row>
    <row r="184">
      <c r="A184" s="27" t="inlineStr">
        <is>
          <t>POS-2026-0183</t>
        </is>
      </c>
      <c r="B184" s="27" t="inlineStr">
        <is>
          <t>2026-03-21 12:35:23</t>
        </is>
      </c>
      <c r="C184" s="27" t="inlineStr">
        <is>
          <t>2026-03-21</t>
        </is>
      </c>
      <c r="D184" s="28" t="inlineStr">
        <is>
          <t>Saturday</t>
        </is>
      </c>
      <c r="E184" s="27" t="n">
        <v>12</v>
      </c>
      <c r="F184" s="28" t="inlineStr">
        <is>
          <t>Cash-Out</t>
        </is>
      </c>
      <c r="G184" s="28" t="inlineStr">
        <is>
          <t>Kuda Bank</t>
        </is>
      </c>
      <c r="H184" s="29" t="n">
        <v>7000</v>
      </c>
      <c r="I184" s="29" t="n">
        <v>200</v>
      </c>
      <c r="J184" s="29" t="n">
        <v>50</v>
      </c>
      <c r="K184" s="29">
        <f>I184-J184</f>
        <v/>
      </c>
      <c r="L184" s="27" t="inlineStr">
        <is>
          <t>Successful</t>
        </is>
      </c>
      <c r="M184" s="28" t="inlineStr">
        <is>
          <t>None</t>
        </is>
      </c>
    </row>
    <row r="185">
      <c r="A185" s="30" t="inlineStr">
        <is>
          <t>POS-2026-0184</t>
        </is>
      </c>
      <c r="B185" s="30" t="inlineStr">
        <is>
          <t>2026-03-22 14:42:53</t>
        </is>
      </c>
      <c r="C185" s="30" t="inlineStr">
        <is>
          <t>2026-03-22</t>
        </is>
      </c>
      <c r="D185" s="31" t="inlineStr">
        <is>
          <t>Sunday</t>
        </is>
      </c>
      <c r="E185" s="30" t="n">
        <v>14</v>
      </c>
      <c r="F185" s="31" t="inlineStr">
        <is>
          <t>Cash-In</t>
        </is>
      </c>
      <c r="G185" s="31" t="inlineStr">
        <is>
          <t>GTBank</t>
        </is>
      </c>
      <c r="H185" s="32" t="n">
        <v>5000</v>
      </c>
      <c r="I185" s="32" t="n">
        <v>100</v>
      </c>
      <c r="J185" s="32" t="n">
        <v>30</v>
      </c>
      <c r="K185" s="32">
        <f>I185-J185</f>
        <v/>
      </c>
      <c r="L185" s="30" t="inlineStr">
        <is>
          <t>Successful</t>
        </is>
      </c>
      <c r="M185" s="31" t="inlineStr">
        <is>
          <t>None</t>
        </is>
      </c>
    </row>
    <row r="186">
      <c r="A186" s="27" t="inlineStr">
        <is>
          <t>POS-2026-0185</t>
        </is>
      </c>
      <c r="B186" s="27" t="inlineStr">
        <is>
          <t>2026-03-22 16:58:21</t>
        </is>
      </c>
      <c r="C186" s="27" t="inlineStr">
        <is>
          <t>2026-03-22</t>
        </is>
      </c>
      <c r="D186" s="28" t="inlineStr">
        <is>
          <t>Sunday</t>
        </is>
      </c>
      <c r="E186" s="27" t="n">
        <v>16</v>
      </c>
      <c r="F186" s="28" t="inlineStr">
        <is>
          <t>Cash-Out</t>
        </is>
      </c>
      <c r="G186" s="28" t="inlineStr">
        <is>
          <t>Zenith Bank</t>
        </is>
      </c>
      <c r="H186" s="29" t="n">
        <v>5000</v>
      </c>
      <c r="I186" s="29" t="n">
        <v>100</v>
      </c>
      <c r="J186" s="29" t="n">
        <v>25</v>
      </c>
      <c r="K186" s="29">
        <f>I186-J186</f>
        <v/>
      </c>
      <c r="L186" s="27" t="inlineStr">
        <is>
          <t>Successful</t>
        </is>
      </c>
      <c r="M186" s="28" t="inlineStr">
        <is>
          <t>None</t>
        </is>
      </c>
    </row>
    <row r="187">
      <c r="A187" s="30" t="inlineStr">
        <is>
          <t>POS-2026-0186</t>
        </is>
      </c>
      <c r="B187" s="30" t="inlineStr">
        <is>
          <t>2026-03-22 13:09:47</t>
        </is>
      </c>
      <c r="C187" s="30" t="inlineStr">
        <is>
          <t>2026-03-22</t>
        </is>
      </c>
      <c r="D187" s="31" t="inlineStr">
        <is>
          <t>Sunday</t>
        </is>
      </c>
      <c r="E187" s="30" t="n">
        <v>13</v>
      </c>
      <c r="F187" s="31" t="inlineStr">
        <is>
          <t>Cash-In</t>
        </is>
      </c>
      <c r="G187" s="31" t="inlineStr">
        <is>
          <t>GTBank</t>
        </is>
      </c>
      <c r="H187" s="32" t="n">
        <v>3000</v>
      </c>
      <c r="I187" s="32" t="n">
        <v>100</v>
      </c>
      <c r="J187" s="32" t="n">
        <v>30</v>
      </c>
      <c r="K187" s="32">
        <f>I187-J187</f>
        <v/>
      </c>
      <c r="L187" s="30" t="inlineStr">
        <is>
          <t>Successful</t>
        </is>
      </c>
      <c r="M187" s="31" t="inlineStr">
        <is>
          <t>None</t>
        </is>
      </c>
    </row>
    <row r="188">
      <c r="A188" s="27" t="inlineStr">
        <is>
          <t>POS-2026-0187</t>
        </is>
      </c>
      <c r="B188" s="27" t="inlineStr">
        <is>
          <t>2026-03-22 11:26:29</t>
        </is>
      </c>
      <c r="C188" s="27" t="inlineStr">
        <is>
          <t>2026-03-22</t>
        </is>
      </c>
      <c r="D188" s="28" t="inlineStr">
        <is>
          <t>Sunday</t>
        </is>
      </c>
      <c r="E188" s="27" t="n">
        <v>11</v>
      </c>
      <c r="F188" s="28" t="inlineStr">
        <is>
          <t>Cash-Out</t>
        </is>
      </c>
      <c r="G188" s="28" t="inlineStr">
        <is>
          <t>OPay</t>
        </is>
      </c>
      <c r="H188" s="29" t="n">
        <v>10000</v>
      </c>
      <c r="I188" s="29" t="n">
        <v>200</v>
      </c>
      <c r="J188" s="29" t="n">
        <v>50</v>
      </c>
      <c r="K188" s="29">
        <f>I188-J188</f>
        <v/>
      </c>
      <c r="L188" s="27" t="inlineStr">
        <is>
          <t>Successful</t>
        </is>
      </c>
      <c r="M188" s="28" t="inlineStr">
        <is>
          <t>None</t>
        </is>
      </c>
    </row>
    <row r="189">
      <c r="A189" s="30" t="inlineStr">
        <is>
          <t>POS-2026-0188</t>
        </is>
      </c>
      <c r="B189" s="30" t="inlineStr">
        <is>
          <t>2026-03-22 16:36:38</t>
        </is>
      </c>
      <c r="C189" s="30" t="inlineStr">
        <is>
          <t>2026-03-22</t>
        </is>
      </c>
      <c r="D189" s="31" t="inlineStr">
        <is>
          <t>Sunday</t>
        </is>
      </c>
      <c r="E189" s="30" t="n">
        <v>16</v>
      </c>
      <c r="F189" s="31" t="inlineStr">
        <is>
          <t>Cash-Out</t>
        </is>
      </c>
      <c r="G189" s="31" t="inlineStr">
        <is>
          <t>GTBank</t>
        </is>
      </c>
      <c r="H189" s="32" t="n">
        <v>5000</v>
      </c>
      <c r="I189" s="32" t="n">
        <v>100</v>
      </c>
      <c r="J189" s="32" t="n">
        <v>25</v>
      </c>
      <c r="K189" s="32">
        <f>I189-J189</f>
        <v/>
      </c>
      <c r="L189" s="30" t="inlineStr">
        <is>
          <t>Successful</t>
        </is>
      </c>
      <c r="M189" s="31" t="inlineStr">
        <is>
          <t>None</t>
        </is>
      </c>
    </row>
    <row r="190">
      <c r="A190" s="27" t="inlineStr">
        <is>
          <t>POS-2026-0189</t>
        </is>
      </c>
      <c r="B190" s="27" t="inlineStr">
        <is>
          <t>2026-03-22 15:43:05</t>
        </is>
      </c>
      <c r="C190" s="27" t="inlineStr">
        <is>
          <t>2026-03-22</t>
        </is>
      </c>
      <c r="D190" s="28" t="inlineStr">
        <is>
          <t>Sunday</t>
        </is>
      </c>
      <c r="E190" s="27" t="n">
        <v>15</v>
      </c>
      <c r="F190" s="28" t="inlineStr">
        <is>
          <t>Cash-Out</t>
        </is>
      </c>
      <c r="G190" s="28" t="inlineStr">
        <is>
          <t>Moniepoint</t>
        </is>
      </c>
      <c r="H190" s="29" t="n">
        <v>25000</v>
      </c>
      <c r="I190" s="29" t="n">
        <v>300</v>
      </c>
      <c r="J190" s="29" t="n">
        <v>80</v>
      </c>
      <c r="K190" s="29">
        <f>I190-J190</f>
        <v/>
      </c>
      <c r="L190" s="27" t="inlineStr">
        <is>
          <t>Successful</t>
        </is>
      </c>
      <c r="M190" s="28" t="inlineStr">
        <is>
          <t>None</t>
        </is>
      </c>
    </row>
    <row r="191">
      <c r="A191" s="30" t="inlineStr">
        <is>
          <t>POS-2026-0190</t>
        </is>
      </c>
      <c r="B191" s="30" t="inlineStr">
        <is>
          <t>2026-03-22 13:13:48</t>
        </is>
      </c>
      <c r="C191" s="30" t="inlineStr">
        <is>
          <t>2026-03-22</t>
        </is>
      </c>
      <c r="D191" s="31" t="inlineStr">
        <is>
          <t>Sunday</t>
        </is>
      </c>
      <c r="E191" s="30" t="n">
        <v>13</v>
      </c>
      <c r="F191" s="31" t="inlineStr">
        <is>
          <t>Cash-Out</t>
        </is>
      </c>
      <c r="G191" s="31" t="inlineStr">
        <is>
          <t>OPay</t>
        </is>
      </c>
      <c r="H191" s="32" t="n">
        <v>20000</v>
      </c>
      <c r="I191" s="32" t="n">
        <v>300</v>
      </c>
      <c r="J191" s="32" t="n">
        <v>80</v>
      </c>
      <c r="K191" s="32">
        <f>I191-J191</f>
        <v/>
      </c>
      <c r="L191" s="30" t="inlineStr">
        <is>
          <t>Successful</t>
        </is>
      </c>
      <c r="M191" s="31" t="inlineStr">
        <is>
          <t>None</t>
        </is>
      </c>
    </row>
    <row r="192">
      <c r="A192" s="27" t="inlineStr">
        <is>
          <t>POS-2026-0191</t>
        </is>
      </c>
      <c r="B192" s="27" t="inlineStr">
        <is>
          <t>2026-03-23 14:19:02</t>
        </is>
      </c>
      <c r="C192" s="27" t="inlineStr">
        <is>
          <t>2026-03-23</t>
        </is>
      </c>
      <c r="D192" s="28" t="inlineStr">
        <is>
          <t>Monday</t>
        </is>
      </c>
      <c r="E192" s="27" t="n">
        <v>14</v>
      </c>
      <c r="F192" s="28" t="inlineStr">
        <is>
          <t>Cash-Out</t>
        </is>
      </c>
      <c r="G192" s="28" t="inlineStr">
        <is>
          <t>GTBank</t>
        </is>
      </c>
      <c r="H192" s="29" t="n">
        <v>2000</v>
      </c>
      <c r="I192" s="29" t="n">
        <v>100</v>
      </c>
      <c r="J192" s="29" t="n">
        <v>25</v>
      </c>
      <c r="K192" s="29">
        <f>I192-J192</f>
        <v/>
      </c>
      <c r="L192" s="27" t="inlineStr">
        <is>
          <t>Successful</t>
        </is>
      </c>
      <c r="M192" s="28" t="inlineStr">
        <is>
          <t>None</t>
        </is>
      </c>
    </row>
    <row r="193">
      <c r="A193" s="30" t="inlineStr">
        <is>
          <t>POS-2026-0192</t>
        </is>
      </c>
      <c r="B193" s="30" t="inlineStr">
        <is>
          <t>2026-03-23 19:49:08</t>
        </is>
      </c>
      <c r="C193" s="30" t="inlineStr">
        <is>
          <t>2026-03-23</t>
        </is>
      </c>
      <c r="D193" s="31" t="inlineStr">
        <is>
          <t>Monday</t>
        </is>
      </c>
      <c r="E193" s="30" t="n">
        <v>19</v>
      </c>
      <c r="F193" s="31" t="inlineStr">
        <is>
          <t>Cash-In</t>
        </is>
      </c>
      <c r="G193" s="31" t="inlineStr">
        <is>
          <t>Kuda Bank</t>
        </is>
      </c>
      <c r="H193" s="32" t="n">
        <v>10000</v>
      </c>
      <c r="I193" s="32" t="n">
        <v>100</v>
      </c>
      <c r="J193" s="32" t="n">
        <v>30</v>
      </c>
      <c r="K193" s="32">
        <f>I193-J193</f>
        <v/>
      </c>
      <c r="L193" s="30" t="inlineStr">
        <is>
          <t>Successful</t>
        </is>
      </c>
      <c r="M193" s="31" t="inlineStr">
        <is>
          <t>None</t>
        </is>
      </c>
    </row>
    <row r="194">
      <c r="A194" s="27" t="inlineStr">
        <is>
          <t>POS-2026-0193</t>
        </is>
      </c>
      <c r="B194" s="27" t="inlineStr">
        <is>
          <t>2026-03-23 14:27:11</t>
        </is>
      </c>
      <c r="C194" s="27" t="inlineStr">
        <is>
          <t>2026-03-23</t>
        </is>
      </c>
      <c r="D194" s="28" t="inlineStr">
        <is>
          <t>Monday</t>
        </is>
      </c>
      <c r="E194" s="27" t="n">
        <v>14</v>
      </c>
      <c r="F194" s="28" t="inlineStr">
        <is>
          <t>Cash-Out</t>
        </is>
      </c>
      <c r="G194" s="28" t="inlineStr">
        <is>
          <t>First Bank</t>
        </is>
      </c>
      <c r="H194" s="29" t="n">
        <v>15000</v>
      </c>
      <c r="I194" s="29" t="n">
        <v>300</v>
      </c>
      <c r="J194" s="29" t="n">
        <v>80</v>
      </c>
      <c r="K194" s="29">
        <f>I194-J194</f>
        <v/>
      </c>
      <c r="L194" s="27" t="inlineStr">
        <is>
          <t>Successful</t>
        </is>
      </c>
      <c r="M194" s="28" t="inlineStr">
        <is>
          <t>None</t>
        </is>
      </c>
    </row>
    <row r="195">
      <c r="A195" s="30" t="inlineStr">
        <is>
          <t>POS-2026-0194</t>
        </is>
      </c>
      <c r="B195" s="30" t="inlineStr">
        <is>
          <t>2026-03-23 18:02:27</t>
        </is>
      </c>
      <c r="C195" s="30" t="inlineStr">
        <is>
          <t>2026-03-23</t>
        </is>
      </c>
      <c r="D195" s="31" t="inlineStr">
        <is>
          <t>Monday</t>
        </is>
      </c>
      <c r="E195" s="30" t="n">
        <v>18</v>
      </c>
      <c r="F195" s="31" t="inlineStr">
        <is>
          <t>Cash-Out</t>
        </is>
      </c>
      <c r="G195" s="31" t="inlineStr">
        <is>
          <t>Access Bank</t>
        </is>
      </c>
      <c r="H195" s="32" t="n">
        <v>15000</v>
      </c>
      <c r="I195" s="32" t="n">
        <v>300</v>
      </c>
      <c r="J195" s="32" t="n">
        <v>80</v>
      </c>
      <c r="K195" s="32">
        <f>I195-J195</f>
        <v/>
      </c>
      <c r="L195" s="30" t="inlineStr">
        <is>
          <t>Successful</t>
        </is>
      </c>
      <c r="M195" s="31" t="inlineStr">
        <is>
          <t>None</t>
        </is>
      </c>
    </row>
    <row r="196">
      <c r="A196" s="27" t="inlineStr">
        <is>
          <t>POS-2026-0195</t>
        </is>
      </c>
      <c r="B196" s="27" t="inlineStr">
        <is>
          <t>2026-03-23 14:45:40</t>
        </is>
      </c>
      <c r="C196" s="27" t="inlineStr">
        <is>
          <t>2026-03-23</t>
        </is>
      </c>
      <c r="D196" s="28" t="inlineStr">
        <is>
          <t>Monday</t>
        </is>
      </c>
      <c r="E196" s="27" t="n">
        <v>14</v>
      </c>
      <c r="F196" s="28" t="inlineStr">
        <is>
          <t>Cash-Out</t>
        </is>
      </c>
      <c r="G196" s="28" t="inlineStr">
        <is>
          <t>Access Bank</t>
        </is>
      </c>
      <c r="H196" s="29" t="n">
        <v>20000</v>
      </c>
      <c r="I196" s="29" t="n">
        <v>300</v>
      </c>
      <c r="J196" s="29" t="n">
        <v>80</v>
      </c>
      <c r="K196" s="29">
        <f>I196-J196</f>
        <v/>
      </c>
      <c r="L196" s="27" t="inlineStr">
        <is>
          <t>Successful</t>
        </is>
      </c>
      <c r="M196" s="28" t="inlineStr">
        <is>
          <t>None</t>
        </is>
      </c>
    </row>
    <row r="197">
      <c r="A197" s="30" t="inlineStr">
        <is>
          <t>POS-2026-0196</t>
        </is>
      </c>
      <c r="B197" s="30" t="inlineStr">
        <is>
          <t>2026-03-23 12:51:39</t>
        </is>
      </c>
      <c r="C197" s="30" t="inlineStr">
        <is>
          <t>2026-03-23</t>
        </is>
      </c>
      <c r="D197" s="31" t="inlineStr">
        <is>
          <t>Monday</t>
        </is>
      </c>
      <c r="E197" s="30" t="n">
        <v>12</v>
      </c>
      <c r="F197" s="31" t="inlineStr">
        <is>
          <t>Cash-Out</t>
        </is>
      </c>
      <c r="G197" s="31" t="inlineStr">
        <is>
          <t>OPay</t>
        </is>
      </c>
      <c r="H197" s="32" t="n">
        <v>3000</v>
      </c>
      <c r="I197" s="32" t="n">
        <v>100</v>
      </c>
      <c r="J197" s="32" t="n">
        <v>25</v>
      </c>
      <c r="K197" s="32">
        <f>I197-J197</f>
        <v/>
      </c>
      <c r="L197" s="30" t="inlineStr">
        <is>
          <t>Successful</t>
        </is>
      </c>
      <c r="M197" s="31" t="inlineStr">
        <is>
          <t>None</t>
        </is>
      </c>
    </row>
    <row r="198">
      <c r="A198" s="27" t="inlineStr">
        <is>
          <t>POS-2026-0197</t>
        </is>
      </c>
      <c r="B198" s="27" t="inlineStr">
        <is>
          <t>2026-03-23 09:27:37</t>
        </is>
      </c>
      <c r="C198" s="27" t="inlineStr">
        <is>
          <t>2026-03-23</t>
        </is>
      </c>
      <c r="D198" s="28" t="inlineStr">
        <is>
          <t>Monday</t>
        </is>
      </c>
      <c r="E198" s="27" t="n">
        <v>9</v>
      </c>
      <c r="F198" s="28" t="inlineStr">
        <is>
          <t>Cash-Out</t>
        </is>
      </c>
      <c r="G198" s="28" t="inlineStr">
        <is>
          <t>Access Bank</t>
        </is>
      </c>
      <c r="H198" s="29" t="n">
        <v>20000</v>
      </c>
      <c r="I198" s="29" t="n">
        <v>300</v>
      </c>
      <c r="J198" s="29" t="n">
        <v>80</v>
      </c>
      <c r="K198" s="29">
        <f>I198-J198</f>
        <v/>
      </c>
      <c r="L198" s="27" t="inlineStr">
        <is>
          <t>Successful</t>
        </is>
      </c>
      <c r="M198" s="28" t="inlineStr">
        <is>
          <t>None</t>
        </is>
      </c>
    </row>
    <row r="199">
      <c r="A199" s="30" t="inlineStr">
        <is>
          <t>POS-2026-0198</t>
        </is>
      </c>
      <c r="B199" s="30" t="inlineStr">
        <is>
          <t>2026-03-23 16:14:21</t>
        </is>
      </c>
      <c r="C199" s="30" t="inlineStr">
        <is>
          <t>2026-03-23</t>
        </is>
      </c>
      <c r="D199" s="31" t="inlineStr">
        <is>
          <t>Monday</t>
        </is>
      </c>
      <c r="E199" s="30" t="n">
        <v>16</v>
      </c>
      <c r="F199" s="31" t="inlineStr">
        <is>
          <t>Cash-In</t>
        </is>
      </c>
      <c r="G199" s="31" t="inlineStr">
        <is>
          <t>Access Bank</t>
        </is>
      </c>
      <c r="H199" s="32" t="n">
        <v>20000</v>
      </c>
      <c r="I199" s="32" t="n">
        <v>200</v>
      </c>
      <c r="J199" s="32" t="n">
        <v>50</v>
      </c>
      <c r="K199" s="32">
        <f>I199-J199</f>
        <v/>
      </c>
      <c r="L199" s="30" t="inlineStr">
        <is>
          <t>Successful</t>
        </is>
      </c>
      <c r="M199" s="31" t="inlineStr">
        <is>
          <t>None</t>
        </is>
      </c>
    </row>
    <row r="200">
      <c r="A200" s="27" t="inlineStr">
        <is>
          <t>POS-2026-0199</t>
        </is>
      </c>
      <c r="B200" s="27" t="inlineStr">
        <is>
          <t>2026-03-23 14:12:57</t>
        </is>
      </c>
      <c r="C200" s="27" t="inlineStr">
        <is>
          <t>2026-03-23</t>
        </is>
      </c>
      <c r="D200" s="28" t="inlineStr">
        <is>
          <t>Monday</t>
        </is>
      </c>
      <c r="E200" s="27" t="n">
        <v>14</v>
      </c>
      <c r="F200" s="28" t="inlineStr">
        <is>
          <t>Cash-In</t>
        </is>
      </c>
      <c r="G200" s="28" t="inlineStr">
        <is>
          <t>OPay</t>
        </is>
      </c>
      <c r="H200" s="29" t="n">
        <v>40000</v>
      </c>
      <c r="I200" s="29" t="n">
        <v>0</v>
      </c>
      <c r="J200" s="29" t="n">
        <v>0</v>
      </c>
      <c r="K200" s="29">
        <f>I200-J200</f>
        <v/>
      </c>
      <c r="L200" s="27" t="inlineStr">
        <is>
          <t>Failed</t>
        </is>
      </c>
      <c r="M200" s="28" t="inlineStr">
        <is>
          <t>Issuer Bank Down</t>
        </is>
      </c>
    </row>
    <row r="201">
      <c r="A201" s="30" t="inlineStr">
        <is>
          <t>POS-2026-0200</t>
        </is>
      </c>
      <c r="B201" s="30" t="inlineStr">
        <is>
          <t>2026-03-23 11:09:16</t>
        </is>
      </c>
      <c r="C201" s="30" t="inlineStr">
        <is>
          <t>2026-03-23</t>
        </is>
      </c>
      <c r="D201" s="31" t="inlineStr">
        <is>
          <t>Monday</t>
        </is>
      </c>
      <c r="E201" s="30" t="n">
        <v>11</v>
      </c>
      <c r="F201" s="31" t="inlineStr">
        <is>
          <t>Cash-Out</t>
        </is>
      </c>
      <c r="G201" s="31" t="inlineStr">
        <is>
          <t>Zenith Bank</t>
        </is>
      </c>
      <c r="H201" s="32" t="n">
        <v>3000</v>
      </c>
      <c r="I201" s="32" t="n">
        <v>100</v>
      </c>
      <c r="J201" s="32" t="n">
        <v>25</v>
      </c>
      <c r="K201" s="32">
        <f>I201-J201</f>
        <v/>
      </c>
      <c r="L201" s="30" t="inlineStr">
        <is>
          <t>Successful</t>
        </is>
      </c>
      <c r="M201" s="31" t="inlineStr">
        <is>
          <t>None</t>
        </is>
      </c>
    </row>
    <row r="202">
      <c r="A202" s="27" t="inlineStr">
        <is>
          <t>POS-2026-0201</t>
        </is>
      </c>
      <c r="B202" s="27" t="inlineStr">
        <is>
          <t>2026-03-24 13:36:48</t>
        </is>
      </c>
      <c r="C202" s="27" t="inlineStr">
        <is>
          <t>2026-03-24</t>
        </is>
      </c>
      <c r="D202" s="28" t="inlineStr">
        <is>
          <t>Tuesday</t>
        </is>
      </c>
      <c r="E202" s="27" t="n">
        <v>13</v>
      </c>
      <c r="F202" s="28" t="inlineStr">
        <is>
          <t>Cash-In</t>
        </is>
      </c>
      <c r="G202" s="28" t="inlineStr">
        <is>
          <t>OPay</t>
        </is>
      </c>
      <c r="H202" s="29" t="n">
        <v>50000</v>
      </c>
      <c r="I202" s="29" t="n">
        <v>0</v>
      </c>
      <c r="J202" s="29" t="n">
        <v>0</v>
      </c>
      <c r="K202" s="29">
        <f>I202-J202</f>
        <v/>
      </c>
      <c r="L202" s="27" t="inlineStr">
        <is>
          <t>Failed</t>
        </is>
      </c>
      <c r="M202" s="28" t="inlineStr">
        <is>
          <t>Insufficient Agent Float</t>
        </is>
      </c>
    </row>
    <row r="203">
      <c r="A203" s="30" t="inlineStr">
        <is>
          <t>POS-2026-0202</t>
        </is>
      </c>
      <c r="B203" s="30" t="inlineStr">
        <is>
          <t>2026-03-24 10:04:30</t>
        </is>
      </c>
      <c r="C203" s="30" t="inlineStr">
        <is>
          <t>2026-03-24</t>
        </is>
      </c>
      <c r="D203" s="31" t="inlineStr">
        <is>
          <t>Tuesday</t>
        </is>
      </c>
      <c r="E203" s="30" t="n">
        <v>10</v>
      </c>
      <c r="F203" s="31" t="inlineStr">
        <is>
          <t>Cash-Out</t>
        </is>
      </c>
      <c r="G203" s="31" t="inlineStr">
        <is>
          <t>Kuda Bank</t>
        </is>
      </c>
      <c r="H203" s="32" t="n">
        <v>10000</v>
      </c>
      <c r="I203" s="32" t="n">
        <v>200</v>
      </c>
      <c r="J203" s="32" t="n">
        <v>50</v>
      </c>
      <c r="K203" s="32">
        <f>I203-J203</f>
        <v/>
      </c>
      <c r="L203" s="30" t="inlineStr">
        <is>
          <t>Successful</t>
        </is>
      </c>
      <c r="M203" s="31" t="inlineStr">
        <is>
          <t>None</t>
        </is>
      </c>
    </row>
    <row r="204">
      <c r="A204" s="27" t="inlineStr">
        <is>
          <t>POS-2026-0203</t>
        </is>
      </c>
      <c r="B204" s="27" t="inlineStr">
        <is>
          <t>2026-03-24 12:04:19</t>
        </is>
      </c>
      <c r="C204" s="27" t="inlineStr">
        <is>
          <t>2026-03-24</t>
        </is>
      </c>
      <c r="D204" s="28" t="inlineStr">
        <is>
          <t>Tuesday</t>
        </is>
      </c>
      <c r="E204" s="27" t="n">
        <v>12</v>
      </c>
      <c r="F204" s="28" t="inlineStr">
        <is>
          <t>Cash-Out</t>
        </is>
      </c>
      <c r="G204" s="28" t="inlineStr">
        <is>
          <t>GTBank</t>
        </is>
      </c>
      <c r="H204" s="29" t="n">
        <v>2000</v>
      </c>
      <c r="I204" s="29" t="n">
        <v>100</v>
      </c>
      <c r="J204" s="29" t="n">
        <v>25</v>
      </c>
      <c r="K204" s="29">
        <f>I204-J204</f>
        <v/>
      </c>
      <c r="L204" s="27" t="inlineStr">
        <is>
          <t>Successful</t>
        </is>
      </c>
      <c r="M204" s="28" t="inlineStr">
        <is>
          <t>None</t>
        </is>
      </c>
    </row>
    <row r="205">
      <c r="A205" s="30" t="inlineStr">
        <is>
          <t>POS-2026-0204</t>
        </is>
      </c>
      <c r="B205" s="30" t="inlineStr">
        <is>
          <t>2026-03-24 12:41:55</t>
        </is>
      </c>
      <c r="C205" s="30" t="inlineStr">
        <is>
          <t>2026-03-24</t>
        </is>
      </c>
      <c r="D205" s="31" t="inlineStr">
        <is>
          <t>Tuesday</t>
        </is>
      </c>
      <c r="E205" s="30" t="n">
        <v>12</v>
      </c>
      <c r="F205" s="31" t="inlineStr">
        <is>
          <t>Airtime</t>
        </is>
      </c>
      <c r="G205" s="31" t="inlineStr">
        <is>
          <t>Access Bank</t>
        </is>
      </c>
      <c r="H205" s="32" t="n">
        <v>3000</v>
      </c>
      <c r="I205" s="32" t="n">
        <v>60</v>
      </c>
      <c r="J205" s="32" t="n">
        <v>15</v>
      </c>
      <c r="K205" s="32">
        <f>I205-J205</f>
        <v/>
      </c>
      <c r="L205" s="30" t="inlineStr">
        <is>
          <t>Successful</t>
        </is>
      </c>
      <c r="M205" s="31" t="inlineStr">
        <is>
          <t>None</t>
        </is>
      </c>
    </row>
    <row r="206">
      <c r="A206" s="27" t="inlineStr">
        <is>
          <t>POS-2026-0205</t>
        </is>
      </c>
      <c r="B206" s="27" t="inlineStr">
        <is>
          <t>2026-03-24 14:50:47</t>
        </is>
      </c>
      <c r="C206" s="27" t="inlineStr">
        <is>
          <t>2026-03-24</t>
        </is>
      </c>
      <c r="D206" s="28" t="inlineStr">
        <is>
          <t>Tuesday</t>
        </is>
      </c>
      <c r="E206" s="27" t="n">
        <v>14</v>
      </c>
      <c r="F206" s="28" t="inlineStr">
        <is>
          <t>Bill Payment</t>
        </is>
      </c>
      <c r="G206" s="28" t="inlineStr">
        <is>
          <t>UBA</t>
        </is>
      </c>
      <c r="H206" s="29" t="n">
        <v>15000</v>
      </c>
      <c r="I206" s="29" t="n">
        <v>150</v>
      </c>
      <c r="J206" s="29" t="n">
        <v>50</v>
      </c>
      <c r="K206" s="29">
        <f>I206-J206</f>
        <v/>
      </c>
      <c r="L206" s="27" t="inlineStr">
        <is>
          <t>Successful</t>
        </is>
      </c>
      <c r="M206" s="28" t="inlineStr">
        <is>
          <t>None</t>
        </is>
      </c>
    </row>
    <row r="207">
      <c r="A207" s="30" t="inlineStr">
        <is>
          <t>POS-2026-0206</t>
        </is>
      </c>
      <c r="B207" s="30" t="inlineStr">
        <is>
          <t>2026-03-24 12:30:32</t>
        </is>
      </c>
      <c r="C207" s="30" t="inlineStr">
        <is>
          <t>2026-03-24</t>
        </is>
      </c>
      <c r="D207" s="31" t="inlineStr">
        <is>
          <t>Tuesday</t>
        </is>
      </c>
      <c r="E207" s="30" t="n">
        <v>12</v>
      </c>
      <c r="F207" s="31" t="inlineStr">
        <is>
          <t>Cash-Out</t>
        </is>
      </c>
      <c r="G207" s="31" t="inlineStr">
        <is>
          <t>GTBank</t>
        </is>
      </c>
      <c r="H207" s="32" t="n">
        <v>25000</v>
      </c>
      <c r="I207" s="32" t="n">
        <v>300</v>
      </c>
      <c r="J207" s="32" t="n">
        <v>80</v>
      </c>
      <c r="K207" s="32">
        <f>I207-J207</f>
        <v/>
      </c>
      <c r="L207" s="30" t="inlineStr">
        <is>
          <t>Successful</t>
        </is>
      </c>
      <c r="M207" s="31" t="inlineStr">
        <is>
          <t>None</t>
        </is>
      </c>
    </row>
    <row r="208">
      <c r="A208" s="27" t="inlineStr">
        <is>
          <t>POS-2026-0207</t>
        </is>
      </c>
      <c r="B208" s="27" t="inlineStr">
        <is>
          <t>2026-03-24 18:21:45</t>
        </is>
      </c>
      <c r="C208" s="27" t="inlineStr">
        <is>
          <t>2026-03-24</t>
        </is>
      </c>
      <c r="D208" s="28" t="inlineStr">
        <is>
          <t>Tuesday</t>
        </is>
      </c>
      <c r="E208" s="27" t="n">
        <v>18</v>
      </c>
      <c r="F208" s="28" t="inlineStr">
        <is>
          <t>Cash-Out</t>
        </is>
      </c>
      <c r="G208" s="28" t="inlineStr">
        <is>
          <t>Zenith Bank</t>
        </is>
      </c>
      <c r="H208" s="29" t="n">
        <v>2000</v>
      </c>
      <c r="I208" s="29" t="n">
        <v>100</v>
      </c>
      <c r="J208" s="29" t="n">
        <v>25</v>
      </c>
      <c r="K208" s="29">
        <f>I208-J208</f>
        <v/>
      </c>
      <c r="L208" s="27" t="inlineStr">
        <is>
          <t>Successful</t>
        </is>
      </c>
      <c r="M208" s="28" t="inlineStr">
        <is>
          <t>None</t>
        </is>
      </c>
    </row>
    <row r="209">
      <c r="A209" s="30" t="inlineStr">
        <is>
          <t>POS-2026-0208</t>
        </is>
      </c>
      <c r="B209" s="30" t="inlineStr">
        <is>
          <t>2026-03-24 13:28:33</t>
        </is>
      </c>
      <c r="C209" s="30" t="inlineStr">
        <is>
          <t>2026-03-24</t>
        </is>
      </c>
      <c r="D209" s="31" t="inlineStr">
        <is>
          <t>Tuesday</t>
        </is>
      </c>
      <c r="E209" s="30" t="n">
        <v>13</v>
      </c>
      <c r="F209" s="31" t="inlineStr">
        <is>
          <t>Cash-Out</t>
        </is>
      </c>
      <c r="G209" s="31" t="inlineStr">
        <is>
          <t>Zenith Bank</t>
        </is>
      </c>
      <c r="H209" s="32" t="n">
        <v>15000</v>
      </c>
      <c r="I209" s="32" t="n">
        <v>300</v>
      </c>
      <c r="J209" s="32" t="n">
        <v>80</v>
      </c>
      <c r="K209" s="32">
        <f>I209-J209</f>
        <v/>
      </c>
      <c r="L209" s="30" t="inlineStr">
        <is>
          <t>Successful</t>
        </is>
      </c>
      <c r="M209" s="31" t="inlineStr">
        <is>
          <t>None</t>
        </is>
      </c>
    </row>
    <row r="210">
      <c r="A210" s="27" t="inlineStr">
        <is>
          <t>POS-2026-0209</t>
        </is>
      </c>
      <c r="B210" s="27" t="inlineStr">
        <is>
          <t>2026-03-24 12:26:49</t>
        </is>
      </c>
      <c r="C210" s="27" t="inlineStr">
        <is>
          <t>2026-03-24</t>
        </is>
      </c>
      <c r="D210" s="28" t="inlineStr">
        <is>
          <t>Tuesday</t>
        </is>
      </c>
      <c r="E210" s="27" t="n">
        <v>12</v>
      </c>
      <c r="F210" s="28" t="inlineStr">
        <is>
          <t>Cash-Out</t>
        </is>
      </c>
      <c r="G210" s="28" t="inlineStr">
        <is>
          <t>GTBank</t>
        </is>
      </c>
      <c r="H210" s="29" t="n">
        <v>15000</v>
      </c>
      <c r="I210" s="29" t="n">
        <v>300</v>
      </c>
      <c r="J210" s="29" t="n">
        <v>80</v>
      </c>
      <c r="K210" s="29">
        <f>I210-J210</f>
        <v/>
      </c>
      <c r="L210" s="27" t="inlineStr">
        <is>
          <t>Successful</t>
        </is>
      </c>
      <c r="M210" s="28" t="inlineStr">
        <is>
          <t>None</t>
        </is>
      </c>
    </row>
    <row r="211">
      <c r="A211" s="30" t="inlineStr">
        <is>
          <t>POS-2026-0210</t>
        </is>
      </c>
      <c r="B211" s="30" t="inlineStr">
        <is>
          <t>2026-03-24 09:43:24</t>
        </is>
      </c>
      <c r="C211" s="30" t="inlineStr">
        <is>
          <t>2026-03-24</t>
        </is>
      </c>
      <c r="D211" s="31" t="inlineStr">
        <is>
          <t>Tuesday</t>
        </is>
      </c>
      <c r="E211" s="30" t="n">
        <v>9</v>
      </c>
      <c r="F211" s="31" t="inlineStr">
        <is>
          <t>Cash-Out</t>
        </is>
      </c>
      <c r="G211" s="31" t="inlineStr">
        <is>
          <t>Zenith Bank</t>
        </is>
      </c>
      <c r="H211" s="32" t="n">
        <v>15000</v>
      </c>
      <c r="I211" s="32" t="n">
        <v>300</v>
      </c>
      <c r="J211" s="32" t="n">
        <v>80</v>
      </c>
      <c r="K211" s="32">
        <f>I211-J211</f>
        <v/>
      </c>
      <c r="L211" s="30" t="inlineStr">
        <is>
          <t>Successful</t>
        </is>
      </c>
      <c r="M211" s="31" t="inlineStr">
        <is>
          <t>None</t>
        </is>
      </c>
    </row>
    <row r="212">
      <c r="A212" s="27" t="inlineStr">
        <is>
          <t>POS-2026-0211</t>
        </is>
      </c>
      <c r="B212" s="27" t="inlineStr">
        <is>
          <t>2026-03-25 19:19:41</t>
        </is>
      </c>
      <c r="C212" s="27" t="inlineStr">
        <is>
          <t>2026-03-25</t>
        </is>
      </c>
      <c r="D212" s="28" t="inlineStr">
        <is>
          <t>Wednesday</t>
        </is>
      </c>
      <c r="E212" s="27" t="n">
        <v>19</v>
      </c>
      <c r="F212" s="28" t="inlineStr">
        <is>
          <t>Cash-In</t>
        </is>
      </c>
      <c r="G212" s="28" t="inlineStr">
        <is>
          <t>Moniepoint</t>
        </is>
      </c>
      <c r="H212" s="29" t="n">
        <v>5000</v>
      </c>
      <c r="I212" s="29" t="n">
        <v>100</v>
      </c>
      <c r="J212" s="29" t="n">
        <v>30</v>
      </c>
      <c r="K212" s="29">
        <f>I212-J212</f>
        <v/>
      </c>
      <c r="L212" s="27" t="inlineStr">
        <is>
          <t>Successful</t>
        </is>
      </c>
      <c r="M212" s="28" t="inlineStr">
        <is>
          <t>None</t>
        </is>
      </c>
    </row>
    <row r="213">
      <c r="A213" s="30" t="inlineStr">
        <is>
          <t>POS-2026-0212</t>
        </is>
      </c>
      <c r="B213" s="30" t="inlineStr">
        <is>
          <t>2026-03-25 19:19:35</t>
        </is>
      </c>
      <c r="C213" s="30" t="inlineStr">
        <is>
          <t>2026-03-25</t>
        </is>
      </c>
      <c r="D213" s="31" t="inlineStr">
        <is>
          <t>Wednesday</t>
        </is>
      </c>
      <c r="E213" s="30" t="n">
        <v>19</v>
      </c>
      <c r="F213" s="31" t="inlineStr">
        <is>
          <t>Cash-Out</t>
        </is>
      </c>
      <c r="G213" s="31" t="inlineStr">
        <is>
          <t>OPay</t>
        </is>
      </c>
      <c r="H213" s="32" t="n">
        <v>5000</v>
      </c>
      <c r="I213" s="32" t="n">
        <v>100</v>
      </c>
      <c r="J213" s="32" t="n">
        <v>25</v>
      </c>
      <c r="K213" s="32">
        <f>I213-J213</f>
        <v/>
      </c>
      <c r="L213" s="30" t="inlineStr">
        <is>
          <t>Successful</t>
        </is>
      </c>
      <c r="M213" s="31" t="inlineStr">
        <is>
          <t>None</t>
        </is>
      </c>
    </row>
    <row r="214">
      <c r="A214" s="27" t="inlineStr">
        <is>
          <t>POS-2026-0213</t>
        </is>
      </c>
      <c r="B214" s="27" t="inlineStr">
        <is>
          <t>2026-03-25 17:47:43</t>
        </is>
      </c>
      <c r="C214" s="27" t="inlineStr">
        <is>
          <t>2026-03-25</t>
        </is>
      </c>
      <c r="D214" s="28" t="inlineStr">
        <is>
          <t>Wednesday</t>
        </is>
      </c>
      <c r="E214" s="27" t="n">
        <v>17</v>
      </c>
      <c r="F214" s="28" t="inlineStr">
        <is>
          <t>Bill Payment</t>
        </is>
      </c>
      <c r="G214" s="28" t="inlineStr">
        <is>
          <t>Access Bank</t>
        </is>
      </c>
      <c r="H214" s="29" t="n">
        <v>11000</v>
      </c>
      <c r="I214" s="29" t="n">
        <v>150</v>
      </c>
      <c r="J214" s="29" t="n">
        <v>50</v>
      </c>
      <c r="K214" s="29">
        <f>I214-J214</f>
        <v/>
      </c>
      <c r="L214" s="27" t="inlineStr">
        <is>
          <t>Successful</t>
        </is>
      </c>
      <c r="M214" s="28" t="inlineStr">
        <is>
          <t>None</t>
        </is>
      </c>
    </row>
    <row r="215">
      <c r="A215" s="30" t="inlineStr">
        <is>
          <t>POS-2026-0214</t>
        </is>
      </c>
      <c r="B215" s="30" t="inlineStr">
        <is>
          <t>2026-03-25 07:19:11</t>
        </is>
      </c>
      <c r="C215" s="30" t="inlineStr">
        <is>
          <t>2026-03-25</t>
        </is>
      </c>
      <c r="D215" s="31" t="inlineStr">
        <is>
          <t>Wednesday</t>
        </is>
      </c>
      <c r="E215" s="30" t="n">
        <v>7</v>
      </c>
      <c r="F215" s="31" t="inlineStr">
        <is>
          <t>Airtime</t>
        </is>
      </c>
      <c r="G215" s="31" t="inlineStr">
        <is>
          <t>OPay</t>
        </is>
      </c>
      <c r="H215" s="32" t="n">
        <v>3000</v>
      </c>
      <c r="I215" s="32" t="n">
        <v>60</v>
      </c>
      <c r="J215" s="32" t="n">
        <v>15</v>
      </c>
      <c r="K215" s="32">
        <f>I215-J215</f>
        <v/>
      </c>
      <c r="L215" s="30" t="inlineStr">
        <is>
          <t>Successful</t>
        </is>
      </c>
      <c r="M215" s="31" t="inlineStr">
        <is>
          <t>None</t>
        </is>
      </c>
    </row>
    <row r="216">
      <c r="A216" s="27" t="inlineStr">
        <is>
          <t>POS-2026-0215</t>
        </is>
      </c>
      <c r="B216" s="27" t="inlineStr">
        <is>
          <t>2026-03-25 21:09:04</t>
        </is>
      </c>
      <c r="C216" s="27" t="inlineStr">
        <is>
          <t>2026-03-25</t>
        </is>
      </c>
      <c r="D216" s="28" t="inlineStr">
        <is>
          <t>Wednesday</t>
        </is>
      </c>
      <c r="E216" s="27" t="n">
        <v>21</v>
      </c>
      <c r="F216" s="28" t="inlineStr">
        <is>
          <t>Cash-Out</t>
        </is>
      </c>
      <c r="G216" s="28" t="inlineStr">
        <is>
          <t>Access Bank</t>
        </is>
      </c>
      <c r="H216" s="29" t="n">
        <v>2000</v>
      </c>
      <c r="I216" s="29" t="n">
        <v>100</v>
      </c>
      <c r="J216" s="29" t="n">
        <v>25</v>
      </c>
      <c r="K216" s="29">
        <f>I216-J216</f>
        <v/>
      </c>
      <c r="L216" s="27" t="inlineStr">
        <is>
          <t>Successful</t>
        </is>
      </c>
      <c r="M216" s="28" t="inlineStr">
        <is>
          <t>None</t>
        </is>
      </c>
    </row>
    <row r="217">
      <c r="A217" s="30" t="inlineStr">
        <is>
          <t>POS-2026-0216</t>
        </is>
      </c>
      <c r="B217" s="30" t="inlineStr">
        <is>
          <t>2026-03-25 18:39:08</t>
        </is>
      </c>
      <c r="C217" s="30" t="inlineStr">
        <is>
          <t>2026-03-25</t>
        </is>
      </c>
      <c r="D217" s="31" t="inlineStr">
        <is>
          <t>Wednesday</t>
        </is>
      </c>
      <c r="E217" s="30" t="n">
        <v>18</v>
      </c>
      <c r="F217" s="31" t="inlineStr">
        <is>
          <t>Cash-In</t>
        </is>
      </c>
      <c r="G217" s="31" t="inlineStr">
        <is>
          <t>Zenith Bank</t>
        </is>
      </c>
      <c r="H217" s="32" t="n">
        <v>5000</v>
      </c>
      <c r="I217" s="32" t="n">
        <v>100</v>
      </c>
      <c r="J217" s="32" t="n">
        <v>30</v>
      </c>
      <c r="K217" s="32">
        <f>I217-J217</f>
        <v/>
      </c>
      <c r="L217" s="30" t="inlineStr">
        <is>
          <t>Successful</t>
        </is>
      </c>
      <c r="M217" s="31" t="inlineStr">
        <is>
          <t>None</t>
        </is>
      </c>
    </row>
    <row r="218">
      <c r="A218" s="27" t="inlineStr">
        <is>
          <t>POS-2026-0217</t>
        </is>
      </c>
      <c r="B218" s="27" t="inlineStr">
        <is>
          <t>2026-03-25 15:39:51</t>
        </is>
      </c>
      <c r="C218" s="27" t="inlineStr">
        <is>
          <t>2026-03-25</t>
        </is>
      </c>
      <c r="D218" s="28" t="inlineStr">
        <is>
          <t>Wednesday</t>
        </is>
      </c>
      <c r="E218" s="27" t="n">
        <v>15</v>
      </c>
      <c r="F218" s="28" t="inlineStr">
        <is>
          <t>Bill Payment</t>
        </is>
      </c>
      <c r="G218" s="28" t="inlineStr">
        <is>
          <t>UBA</t>
        </is>
      </c>
      <c r="H218" s="29" t="n">
        <v>2000</v>
      </c>
      <c r="I218" s="29" t="n">
        <v>150</v>
      </c>
      <c r="J218" s="29" t="n">
        <v>50</v>
      </c>
      <c r="K218" s="29">
        <f>I218-J218</f>
        <v/>
      </c>
      <c r="L218" s="27" t="inlineStr">
        <is>
          <t>Successful</t>
        </is>
      </c>
      <c r="M218" s="28" t="inlineStr">
        <is>
          <t>None</t>
        </is>
      </c>
    </row>
    <row r="219">
      <c r="A219" s="30" t="inlineStr">
        <is>
          <t>POS-2026-0218</t>
        </is>
      </c>
      <c r="B219" s="30" t="inlineStr">
        <is>
          <t>2026-03-25 15:15:28</t>
        </is>
      </c>
      <c r="C219" s="30" t="inlineStr">
        <is>
          <t>2026-03-25</t>
        </is>
      </c>
      <c r="D219" s="31" t="inlineStr">
        <is>
          <t>Wednesday</t>
        </is>
      </c>
      <c r="E219" s="30" t="n">
        <v>15</v>
      </c>
      <c r="F219" s="31" t="inlineStr">
        <is>
          <t>Cash-In</t>
        </is>
      </c>
      <c r="G219" s="31" t="inlineStr">
        <is>
          <t>UBA</t>
        </is>
      </c>
      <c r="H219" s="32" t="n">
        <v>5000</v>
      </c>
      <c r="I219" s="32" t="n">
        <v>100</v>
      </c>
      <c r="J219" s="32" t="n">
        <v>30</v>
      </c>
      <c r="K219" s="32">
        <f>I219-J219</f>
        <v/>
      </c>
      <c r="L219" s="30" t="inlineStr">
        <is>
          <t>Successful</t>
        </is>
      </c>
      <c r="M219" s="31" t="inlineStr">
        <is>
          <t>None</t>
        </is>
      </c>
    </row>
    <row r="220">
      <c r="A220" s="27" t="inlineStr">
        <is>
          <t>POS-2026-0219</t>
        </is>
      </c>
      <c r="B220" s="27" t="inlineStr">
        <is>
          <t>2026-03-26 20:50:30</t>
        </is>
      </c>
      <c r="C220" s="27" t="inlineStr">
        <is>
          <t>2026-03-26</t>
        </is>
      </c>
      <c r="D220" s="28" t="inlineStr">
        <is>
          <t>Thursday</t>
        </is>
      </c>
      <c r="E220" s="27" t="n">
        <v>20</v>
      </c>
      <c r="F220" s="28" t="inlineStr">
        <is>
          <t>Bill Payment</t>
        </is>
      </c>
      <c r="G220" s="28" t="inlineStr">
        <is>
          <t>First Bank</t>
        </is>
      </c>
      <c r="H220" s="29" t="n">
        <v>6000</v>
      </c>
      <c r="I220" s="29" t="n">
        <v>150</v>
      </c>
      <c r="J220" s="29" t="n">
        <v>50</v>
      </c>
      <c r="K220" s="29">
        <f>I220-J220</f>
        <v/>
      </c>
      <c r="L220" s="27" t="inlineStr">
        <is>
          <t>Successful</t>
        </is>
      </c>
      <c r="M220" s="28" t="inlineStr">
        <is>
          <t>None</t>
        </is>
      </c>
    </row>
    <row r="221">
      <c r="A221" s="30" t="inlineStr">
        <is>
          <t>POS-2026-0220</t>
        </is>
      </c>
      <c r="B221" s="30" t="inlineStr">
        <is>
          <t>2026-03-26 14:28:29</t>
        </is>
      </c>
      <c r="C221" s="30" t="inlineStr">
        <is>
          <t>2026-03-26</t>
        </is>
      </c>
      <c r="D221" s="31" t="inlineStr">
        <is>
          <t>Thursday</t>
        </is>
      </c>
      <c r="E221" s="30" t="n">
        <v>14</v>
      </c>
      <c r="F221" s="31" t="inlineStr">
        <is>
          <t>Cash-In</t>
        </is>
      </c>
      <c r="G221" s="31" t="inlineStr">
        <is>
          <t>Moniepoint</t>
        </is>
      </c>
      <c r="H221" s="32" t="n">
        <v>20000</v>
      </c>
      <c r="I221" s="32" t="n">
        <v>200</v>
      </c>
      <c r="J221" s="32" t="n">
        <v>50</v>
      </c>
      <c r="K221" s="32">
        <f>I221-J221</f>
        <v/>
      </c>
      <c r="L221" s="30" t="inlineStr">
        <is>
          <t>Successful</t>
        </is>
      </c>
      <c r="M221" s="31" t="inlineStr">
        <is>
          <t>None</t>
        </is>
      </c>
    </row>
    <row r="222">
      <c r="A222" s="27" t="inlineStr">
        <is>
          <t>POS-2026-0221</t>
        </is>
      </c>
      <c r="B222" s="27" t="inlineStr">
        <is>
          <t>2026-03-26 20:52:12</t>
        </is>
      </c>
      <c r="C222" s="27" t="inlineStr">
        <is>
          <t>2026-03-26</t>
        </is>
      </c>
      <c r="D222" s="28" t="inlineStr">
        <is>
          <t>Thursday</t>
        </is>
      </c>
      <c r="E222" s="27" t="n">
        <v>20</v>
      </c>
      <c r="F222" s="28" t="inlineStr">
        <is>
          <t>Bill Payment</t>
        </is>
      </c>
      <c r="G222" s="28" t="inlineStr">
        <is>
          <t>Zenith Bank</t>
        </is>
      </c>
      <c r="H222" s="29" t="n">
        <v>6000</v>
      </c>
      <c r="I222" s="29" t="n">
        <v>150</v>
      </c>
      <c r="J222" s="29" t="n">
        <v>50</v>
      </c>
      <c r="K222" s="29">
        <f>I222-J222</f>
        <v/>
      </c>
      <c r="L222" s="27" t="inlineStr">
        <is>
          <t>Successful</t>
        </is>
      </c>
      <c r="M222" s="28" t="inlineStr">
        <is>
          <t>None</t>
        </is>
      </c>
    </row>
    <row r="223">
      <c r="A223" s="30" t="inlineStr">
        <is>
          <t>POS-2026-0222</t>
        </is>
      </c>
      <c r="B223" s="30" t="inlineStr">
        <is>
          <t>2026-03-26 13:23:35</t>
        </is>
      </c>
      <c r="C223" s="30" t="inlineStr">
        <is>
          <t>2026-03-26</t>
        </is>
      </c>
      <c r="D223" s="31" t="inlineStr">
        <is>
          <t>Thursday</t>
        </is>
      </c>
      <c r="E223" s="30" t="n">
        <v>13</v>
      </c>
      <c r="F223" s="31" t="inlineStr">
        <is>
          <t>Airtime</t>
        </is>
      </c>
      <c r="G223" s="31" t="inlineStr">
        <is>
          <t>Access Bank</t>
        </is>
      </c>
      <c r="H223" s="32" t="n">
        <v>2000</v>
      </c>
      <c r="I223" s="32" t="n">
        <v>40</v>
      </c>
      <c r="J223" s="32" t="n">
        <v>10</v>
      </c>
      <c r="K223" s="32">
        <f>I223-J223</f>
        <v/>
      </c>
      <c r="L223" s="30" t="inlineStr">
        <is>
          <t>Successful</t>
        </is>
      </c>
      <c r="M223" s="31" t="inlineStr">
        <is>
          <t>None</t>
        </is>
      </c>
    </row>
    <row r="224">
      <c r="A224" s="27" t="inlineStr">
        <is>
          <t>POS-2026-0223</t>
        </is>
      </c>
      <c r="B224" s="27" t="inlineStr">
        <is>
          <t>2026-03-26 10:28:57</t>
        </is>
      </c>
      <c r="C224" s="27" t="inlineStr">
        <is>
          <t>2026-03-26</t>
        </is>
      </c>
      <c r="D224" s="28" t="inlineStr">
        <is>
          <t>Thursday</t>
        </is>
      </c>
      <c r="E224" s="27" t="n">
        <v>10</v>
      </c>
      <c r="F224" s="28" t="inlineStr">
        <is>
          <t>Cash-Out</t>
        </is>
      </c>
      <c r="G224" s="28" t="inlineStr">
        <is>
          <t>Moniepoint</t>
        </is>
      </c>
      <c r="H224" s="29" t="n">
        <v>3000</v>
      </c>
      <c r="I224" s="29" t="n">
        <v>0</v>
      </c>
      <c r="J224" s="29" t="n">
        <v>0</v>
      </c>
      <c r="K224" s="29">
        <f>I224-J224</f>
        <v/>
      </c>
      <c r="L224" s="27" t="inlineStr">
        <is>
          <t>Failed</t>
        </is>
      </c>
      <c r="M224" s="28" t="inlineStr">
        <is>
          <t>Issuer Bank Down</t>
        </is>
      </c>
    </row>
    <row r="225">
      <c r="A225" s="30" t="inlineStr">
        <is>
          <t>POS-2026-0224</t>
        </is>
      </c>
      <c r="B225" s="30" t="inlineStr">
        <is>
          <t>2026-03-26 17:56:22</t>
        </is>
      </c>
      <c r="C225" s="30" t="inlineStr">
        <is>
          <t>2026-03-26</t>
        </is>
      </c>
      <c r="D225" s="31" t="inlineStr">
        <is>
          <t>Thursday</t>
        </is>
      </c>
      <c r="E225" s="30" t="n">
        <v>17</v>
      </c>
      <c r="F225" s="31" t="inlineStr">
        <is>
          <t>Airtime</t>
        </is>
      </c>
      <c r="G225" s="31" t="inlineStr">
        <is>
          <t>Moniepoint</t>
        </is>
      </c>
      <c r="H225" s="32" t="n">
        <v>500</v>
      </c>
      <c r="I225" s="32" t="n">
        <v>10</v>
      </c>
      <c r="J225" s="32" t="n">
        <v>2</v>
      </c>
      <c r="K225" s="32">
        <f>I225-J225</f>
        <v/>
      </c>
      <c r="L225" s="30" t="inlineStr">
        <is>
          <t>Successful</t>
        </is>
      </c>
      <c r="M225" s="31" t="inlineStr">
        <is>
          <t>None</t>
        </is>
      </c>
    </row>
    <row r="226">
      <c r="A226" s="27" t="inlineStr">
        <is>
          <t>POS-2026-0225</t>
        </is>
      </c>
      <c r="B226" s="27" t="inlineStr">
        <is>
          <t>2026-03-26 13:24:05</t>
        </is>
      </c>
      <c r="C226" s="27" t="inlineStr">
        <is>
          <t>2026-03-26</t>
        </is>
      </c>
      <c r="D226" s="28" t="inlineStr">
        <is>
          <t>Thursday</t>
        </is>
      </c>
      <c r="E226" s="27" t="n">
        <v>13</v>
      </c>
      <c r="F226" s="28" t="inlineStr">
        <is>
          <t>Cash-Out</t>
        </is>
      </c>
      <c r="G226" s="28" t="inlineStr">
        <is>
          <t>GTBank</t>
        </is>
      </c>
      <c r="H226" s="29" t="n">
        <v>15000</v>
      </c>
      <c r="I226" s="29" t="n">
        <v>0</v>
      </c>
      <c r="J226" s="29" t="n">
        <v>0</v>
      </c>
      <c r="K226" s="29">
        <f>I226-J226</f>
        <v/>
      </c>
      <c r="L226" s="27" t="inlineStr">
        <is>
          <t>Failed</t>
        </is>
      </c>
      <c r="M226" s="28" t="inlineStr">
        <is>
          <t>Insufficient Agent Float</t>
        </is>
      </c>
    </row>
    <row r="227">
      <c r="A227" s="30" t="inlineStr">
        <is>
          <t>POS-2026-0226</t>
        </is>
      </c>
      <c r="B227" s="30" t="inlineStr">
        <is>
          <t>2026-03-26 16:08:02</t>
        </is>
      </c>
      <c r="C227" s="30" t="inlineStr">
        <is>
          <t>2026-03-26</t>
        </is>
      </c>
      <c r="D227" s="31" t="inlineStr">
        <is>
          <t>Thursday</t>
        </is>
      </c>
      <c r="E227" s="30" t="n">
        <v>16</v>
      </c>
      <c r="F227" s="31" t="inlineStr">
        <is>
          <t>Cash-Out</t>
        </is>
      </c>
      <c r="G227" s="31" t="inlineStr">
        <is>
          <t>UBA</t>
        </is>
      </c>
      <c r="H227" s="32" t="n">
        <v>5000</v>
      </c>
      <c r="I227" s="32" t="n">
        <v>100</v>
      </c>
      <c r="J227" s="32" t="n">
        <v>25</v>
      </c>
      <c r="K227" s="32">
        <f>I227-J227</f>
        <v/>
      </c>
      <c r="L227" s="30" t="inlineStr">
        <is>
          <t>Successful</t>
        </is>
      </c>
      <c r="M227" s="31" t="inlineStr">
        <is>
          <t>None</t>
        </is>
      </c>
    </row>
    <row r="228">
      <c r="A228" s="27" t="inlineStr">
        <is>
          <t>POS-2026-0227</t>
        </is>
      </c>
      <c r="B228" s="27" t="inlineStr">
        <is>
          <t>2026-03-26 13:39:00</t>
        </is>
      </c>
      <c r="C228" s="27" t="inlineStr">
        <is>
          <t>2026-03-26</t>
        </is>
      </c>
      <c r="D228" s="28" t="inlineStr">
        <is>
          <t>Thursday</t>
        </is>
      </c>
      <c r="E228" s="27" t="n">
        <v>13</v>
      </c>
      <c r="F228" s="28" t="inlineStr">
        <is>
          <t>Bill Payment</t>
        </is>
      </c>
      <c r="G228" s="28" t="inlineStr">
        <is>
          <t>GTBank</t>
        </is>
      </c>
      <c r="H228" s="29" t="n">
        <v>6000</v>
      </c>
      <c r="I228" s="29" t="n">
        <v>150</v>
      </c>
      <c r="J228" s="29" t="n">
        <v>50</v>
      </c>
      <c r="K228" s="29">
        <f>I228-J228</f>
        <v/>
      </c>
      <c r="L228" s="27" t="inlineStr">
        <is>
          <t>Successful</t>
        </is>
      </c>
      <c r="M228" s="28" t="inlineStr">
        <is>
          <t>None</t>
        </is>
      </c>
    </row>
    <row r="229">
      <c r="A229" s="30" t="inlineStr">
        <is>
          <t>POS-2026-0228</t>
        </is>
      </c>
      <c r="B229" s="30" t="inlineStr">
        <is>
          <t>2026-03-27 14:46:38</t>
        </is>
      </c>
      <c r="C229" s="30" t="inlineStr">
        <is>
          <t>2026-03-27</t>
        </is>
      </c>
      <c r="D229" s="31" t="inlineStr">
        <is>
          <t>Friday</t>
        </is>
      </c>
      <c r="E229" s="30" t="n">
        <v>14</v>
      </c>
      <c r="F229" s="31" t="inlineStr">
        <is>
          <t>Cash-Out</t>
        </is>
      </c>
      <c r="G229" s="31" t="inlineStr">
        <is>
          <t>Access Bank</t>
        </is>
      </c>
      <c r="H229" s="32" t="n">
        <v>10000</v>
      </c>
      <c r="I229" s="32" t="n">
        <v>200</v>
      </c>
      <c r="J229" s="32" t="n">
        <v>50</v>
      </c>
      <c r="K229" s="32">
        <f>I229-J229</f>
        <v/>
      </c>
      <c r="L229" s="30" t="inlineStr">
        <is>
          <t>Successful</t>
        </is>
      </c>
      <c r="M229" s="31" t="inlineStr">
        <is>
          <t>None</t>
        </is>
      </c>
    </row>
    <row r="230">
      <c r="A230" s="27" t="inlineStr">
        <is>
          <t>POS-2026-0229</t>
        </is>
      </c>
      <c r="B230" s="27" t="inlineStr">
        <is>
          <t>2026-03-27 09:15:26</t>
        </is>
      </c>
      <c r="C230" s="27" t="inlineStr">
        <is>
          <t>2026-03-27</t>
        </is>
      </c>
      <c r="D230" s="28" t="inlineStr">
        <is>
          <t>Friday</t>
        </is>
      </c>
      <c r="E230" s="27" t="n">
        <v>9</v>
      </c>
      <c r="F230" s="28" t="inlineStr">
        <is>
          <t>Cash-In</t>
        </is>
      </c>
      <c r="G230" s="28" t="inlineStr">
        <is>
          <t>UBA</t>
        </is>
      </c>
      <c r="H230" s="29" t="n">
        <v>3000</v>
      </c>
      <c r="I230" s="29" t="n">
        <v>100</v>
      </c>
      <c r="J230" s="29" t="n">
        <v>30</v>
      </c>
      <c r="K230" s="29">
        <f>I230-J230</f>
        <v/>
      </c>
      <c r="L230" s="27" t="inlineStr">
        <is>
          <t>Successful</t>
        </is>
      </c>
      <c r="M230" s="28" t="inlineStr">
        <is>
          <t>None</t>
        </is>
      </c>
    </row>
    <row r="231">
      <c r="A231" s="30" t="inlineStr">
        <is>
          <t>POS-2026-0230</t>
        </is>
      </c>
      <c r="B231" s="30" t="inlineStr">
        <is>
          <t>2026-03-27 18:38:34</t>
        </is>
      </c>
      <c r="C231" s="30" t="inlineStr">
        <is>
          <t>2026-03-27</t>
        </is>
      </c>
      <c r="D231" s="31" t="inlineStr">
        <is>
          <t>Friday</t>
        </is>
      </c>
      <c r="E231" s="30" t="n">
        <v>18</v>
      </c>
      <c r="F231" s="31" t="inlineStr">
        <is>
          <t>Cash-Out</t>
        </is>
      </c>
      <c r="G231" s="31" t="inlineStr">
        <is>
          <t>First Bank</t>
        </is>
      </c>
      <c r="H231" s="32" t="n">
        <v>5000</v>
      </c>
      <c r="I231" s="32" t="n">
        <v>100</v>
      </c>
      <c r="J231" s="32" t="n">
        <v>25</v>
      </c>
      <c r="K231" s="32">
        <f>I231-J231</f>
        <v/>
      </c>
      <c r="L231" s="30" t="inlineStr">
        <is>
          <t>Successful</t>
        </is>
      </c>
      <c r="M231" s="31" t="inlineStr">
        <is>
          <t>None</t>
        </is>
      </c>
    </row>
    <row r="232">
      <c r="A232" s="27" t="inlineStr">
        <is>
          <t>POS-2026-0231</t>
        </is>
      </c>
      <c r="B232" s="27" t="inlineStr">
        <is>
          <t>2026-03-27 06:22:15</t>
        </is>
      </c>
      <c r="C232" s="27" t="inlineStr">
        <is>
          <t>2026-03-27</t>
        </is>
      </c>
      <c r="D232" s="28" t="inlineStr">
        <is>
          <t>Friday</t>
        </is>
      </c>
      <c r="E232" s="27" t="n">
        <v>6</v>
      </c>
      <c r="F232" s="28" t="inlineStr">
        <is>
          <t>Cash-In</t>
        </is>
      </c>
      <c r="G232" s="28" t="inlineStr">
        <is>
          <t>Zenith Bank</t>
        </is>
      </c>
      <c r="H232" s="29" t="n">
        <v>40000</v>
      </c>
      <c r="I232" s="29" t="n">
        <v>200</v>
      </c>
      <c r="J232" s="29" t="n">
        <v>50</v>
      </c>
      <c r="K232" s="29">
        <f>I232-J232</f>
        <v/>
      </c>
      <c r="L232" s="27" t="inlineStr">
        <is>
          <t>Successful</t>
        </is>
      </c>
      <c r="M232" s="28" t="inlineStr">
        <is>
          <t>None</t>
        </is>
      </c>
    </row>
    <row r="233">
      <c r="A233" s="30" t="inlineStr">
        <is>
          <t>POS-2026-0232</t>
        </is>
      </c>
      <c r="B233" s="30" t="inlineStr">
        <is>
          <t>2026-03-27 14:23:04</t>
        </is>
      </c>
      <c r="C233" s="30" t="inlineStr">
        <is>
          <t>2026-03-27</t>
        </is>
      </c>
      <c r="D233" s="31" t="inlineStr">
        <is>
          <t>Friday</t>
        </is>
      </c>
      <c r="E233" s="30" t="n">
        <v>14</v>
      </c>
      <c r="F233" s="31" t="inlineStr">
        <is>
          <t>Airtime</t>
        </is>
      </c>
      <c r="G233" s="31" t="inlineStr">
        <is>
          <t>GTBank</t>
        </is>
      </c>
      <c r="H233" s="32" t="n">
        <v>3000</v>
      </c>
      <c r="I233" s="32" t="n">
        <v>60</v>
      </c>
      <c r="J233" s="32" t="n">
        <v>15</v>
      </c>
      <c r="K233" s="32">
        <f>I233-J233</f>
        <v/>
      </c>
      <c r="L233" s="30" t="inlineStr">
        <is>
          <t>Successful</t>
        </is>
      </c>
      <c r="M233" s="31" t="inlineStr">
        <is>
          <t>None</t>
        </is>
      </c>
    </row>
    <row r="234">
      <c r="A234" s="27" t="inlineStr">
        <is>
          <t>POS-2026-0233</t>
        </is>
      </c>
      <c r="B234" s="27" t="inlineStr">
        <is>
          <t>2026-03-27 08:24:23</t>
        </is>
      </c>
      <c r="C234" s="27" t="inlineStr">
        <is>
          <t>2026-03-27</t>
        </is>
      </c>
      <c r="D234" s="28" t="inlineStr">
        <is>
          <t>Friday</t>
        </is>
      </c>
      <c r="E234" s="27" t="n">
        <v>8</v>
      </c>
      <c r="F234" s="28" t="inlineStr">
        <is>
          <t>Cash-Out</t>
        </is>
      </c>
      <c r="G234" s="28" t="inlineStr">
        <is>
          <t>GTBank</t>
        </is>
      </c>
      <c r="H234" s="29" t="n">
        <v>15000</v>
      </c>
      <c r="I234" s="29" t="n">
        <v>300</v>
      </c>
      <c r="J234" s="29" t="n">
        <v>80</v>
      </c>
      <c r="K234" s="29">
        <f>I234-J234</f>
        <v/>
      </c>
      <c r="L234" s="27" t="inlineStr">
        <is>
          <t>Successful</t>
        </is>
      </c>
      <c r="M234" s="28" t="inlineStr">
        <is>
          <t>None</t>
        </is>
      </c>
    </row>
    <row r="235">
      <c r="A235" s="30" t="inlineStr">
        <is>
          <t>POS-2026-0234</t>
        </is>
      </c>
      <c r="B235" s="30" t="inlineStr">
        <is>
          <t>2026-03-27 12:46:42</t>
        </is>
      </c>
      <c r="C235" s="30" t="inlineStr">
        <is>
          <t>2026-03-27</t>
        </is>
      </c>
      <c r="D235" s="31" t="inlineStr">
        <is>
          <t>Friday</t>
        </is>
      </c>
      <c r="E235" s="30" t="n">
        <v>12</v>
      </c>
      <c r="F235" s="31" t="inlineStr">
        <is>
          <t>Cash-In</t>
        </is>
      </c>
      <c r="G235" s="31" t="inlineStr">
        <is>
          <t>OPay</t>
        </is>
      </c>
      <c r="H235" s="32" t="n">
        <v>5000</v>
      </c>
      <c r="I235" s="32" t="n">
        <v>100</v>
      </c>
      <c r="J235" s="32" t="n">
        <v>30</v>
      </c>
      <c r="K235" s="32">
        <f>I235-J235</f>
        <v/>
      </c>
      <c r="L235" s="30" t="inlineStr">
        <is>
          <t>Successful</t>
        </is>
      </c>
      <c r="M235" s="31" t="inlineStr">
        <is>
          <t>None</t>
        </is>
      </c>
    </row>
    <row r="236">
      <c r="A236" s="27" t="inlineStr">
        <is>
          <t>POS-2026-0235</t>
        </is>
      </c>
      <c r="B236" s="27" t="inlineStr">
        <is>
          <t>2026-03-27 14:52:41</t>
        </is>
      </c>
      <c r="C236" s="27" t="inlineStr">
        <is>
          <t>2026-03-27</t>
        </is>
      </c>
      <c r="D236" s="28" t="inlineStr">
        <is>
          <t>Friday</t>
        </is>
      </c>
      <c r="E236" s="27" t="n">
        <v>14</v>
      </c>
      <c r="F236" s="28" t="inlineStr">
        <is>
          <t>Cash-Out</t>
        </is>
      </c>
      <c r="G236" s="28" t="inlineStr">
        <is>
          <t>UBA</t>
        </is>
      </c>
      <c r="H236" s="29" t="n">
        <v>25000</v>
      </c>
      <c r="I236" s="29" t="n">
        <v>300</v>
      </c>
      <c r="J236" s="29" t="n">
        <v>80</v>
      </c>
      <c r="K236" s="29">
        <f>I236-J236</f>
        <v/>
      </c>
      <c r="L236" s="27" t="inlineStr">
        <is>
          <t>Successful</t>
        </is>
      </c>
      <c r="M236" s="28" t="inlineStr">
        <is>
          <t>None</t>
        </is>
      </c>
    </row>
    <row r="237">
      <c r="A237" s="30" t="inlineStr">
        <is>
          <t>POS-2026-0236</t>
        </is>
      </c>
      <c r="B237" s="30" t="inlineStr">
        <is>
          <t>2026-03-28 08:49:29</t>
        </is>
      </c>
      <c r="C237" s="30" t="inlineStr">
        <is>
          <t>2026-03-28</t>
        </is>
      </c>
      <c r="D237" s="31" t="inlineStr">
        <is>
          <t>Saturday</t>
        </is>
      </c>
      <c r="E237" s="30" t="n">
        <v>8</v>
      </c>
      <c r="F237" s="31" t="inlineStr">
        <is>
          <t>Cash-Out</t>
        </is>
      </c>
      <c r="G237" s="31" t="inlineStr">
        <is>
          <t>First Bank</t>
        </is>
      </c>
      <c r="H237" s="32" t="n">
        <v>2000</v>
      </c>
      <c r="I237" s="32" t="n">
        <v>100</v>
      </c>
      <c r="J237" s="32" t="n">
        <v>25</v>
      </c>
      <c r="K237" s="32">
        <f>I237-J237</f>
        <v/>
      </c>
      <c r="L237" s="30" t="inlineStr">
        <is>
          <t>Successful</t>
        </is>
      </c>
      <c r="M237" s="31" t="inlineStr">
        <is>
          <t>None</t>
        </is>
      </c>
    </row>
    <row r="238">
      <c r="A238" s="27" t="inlineStr">
        <is>
          <t>POS-2026-0237</t>
        </is>
      </c>
      <c r="B238" s="27" t="inlineStr">
        <is>
          <t>2026-03-28 18:20:59</t>
        </is>
      </c>
      <c r="C238" s="27" t="inlineStr">
        <is>
          <t>2026-03-28</t>
        </is>
      </c>
      <c r="D238" s="28" t="inlineStr">
        <is>
          <t>Saturday</t>
        </is>
      </c>
      <c r="E238" s="27" t="n">
        <v>18</v>
      </c>
      <c r="F238" s="28" t="inlineStr">
        <is>
          <t>Cash-Out</t>
        </is>
      </c>
      <c r="G238" s="28" t="inlineStr">
        <is>
          <t>Moniepoint</t>
        </is>
      </c>
      <c r="H238" s="29" t="n">
        <v>25000</v>
      </c>
      <c r="I238" s="29" t="n">
        <v>300</v>
      </c>
      <c r="J238" s="29" t="n">
        <v>80</v>
      </c>
      <c r="K238" s="29">
        <f>I238-J238</f>
        <v/>
      </c>
      <c r="L238" s="27" t="inlineStr">
        <is>
          <t>Successful</t>
        </is>
      </c>
      <c r="M238" s="28" t="inlineStr">
        <is>
          <t>None</t>
        </is>
      </c>
    </row>
    <row r="239">
      <c r="A239" s="30" t="inlineStr">
        <is>
          <t>POS-2026-0238</t>
        </is>
      </c>
      <c r="B239" s="30" t="inlineStr">
        <is>
          <t>2026-03-28 16:12:18</t>
        </is>
      </c>
      <c r="C239" s="30" t="inlineStr">
        <is>
          <t>2026-03-28</t>
        </is>
      </c>
      <c r="D239" s="31" t="inlineStr">
        <is>
          <t>Saturday</t>
        </is>
      </c>
      <c r="E239" s="30" t="n">
        <v>16</v>
      </c>
      <c r="F239" s="31" t="inlineStr">
        <is>
          <t>Cash-Out</t>
        </is>
      </c>
      <c r="G239" s="31" t="inlineStr">
        <is>
          <t>GTBank</t>
        </is>
      </c>
      <c r="H239" s="32" t="n">
        <v>15000</v>
      </c>
      <c r="I239" s="32" t="n">
        <v>300</v>
      </c>
      <c r="J239" s="32" t="n">
        <v>80</v>
      </c>
      <c r="K239" s="32">
        <f>I239-J239</f>
        <v/>
      </c>
      <c r="L239" s="30" t="inlineStr">
        <is>
          <t>Successful</t>
        </is>
      </c>
      <c r="M239" s="31" t="inlineStr">
        <is>
          <t>None</t>
        </is>
      </c>
    </row>
    <row r="240">
      <c r="A240" s="27" t="inlineStr">
        <is>
          <t>POS-2026-0239</t>
        </is>
      </c>
      <c r="B240" s="27" t="inlineStr">
        <is>
          <t>2026-03-28 17:27:56</t>
        </is>
      </c>
      <c r="C240" s="27" t="inlineStr">
        <is>
          <t>2026-03-28</t>
        </is>
      </c>
      <c r="D240" s="28" t="inlineStr">
        <is>
          <t>Saturday</t>
        </is>
      </c>
      <c r="E240" s="27" t="n">
        <v>17</v>
      </c>
      <c r="F240" s="28" t="inlineStr">
        <is>
          <t>Cash-Out</t>
        </is>
      </c>
      <c r="G240" s="28" t="inlineStr">
        <is>
          <t>UBA</t>
        </is>
      </c>
      <c r="H240" s="29" t="n">
        <v>20000</v>
      </c>
      <c r="I240" s="29" t="n">
        <v>300</v>
      </c>
      <c r="J240" s="29" t="n">
        <v>80</v>
      </c>
      <c r="K240" s="29">
        <f>I240-J240</f>
        <v/>
      </c>
      <c r="L240" s="27" t="inlineStr">
        <is>
          <t>Successful</t>
        </is>
      </c>
      <c r="M240" s="28" t="inlineStr">
        <is>
          <t>None</t>
        </is>
      </c>
    </row>
    <row r="241">
      <c r="A241" s="30" t="inlineStr">
        <is>
          <t>POS-2026-0240</t>
        </is>
      </c>
      <c r="B241" s="30" t="inlineStr">
        <is>
          <t>2026-03-28 10:44:31</t>
        </is>
      </c>
      <c r="C241" s="30" t="inlineStr">
        <is>
          <t>2026-03-28</t>
        </is>
      </c>
      <c r="D241" s="31" t="inlineStr">
        <is>
          <t>Saturday</t>
        </is>
      </c>
      <c r="E241" s="30" t="n">
        <v>10</v>
      </c>
      <c r="F241" s="31" t="inlineStr">
        <is>
          <t>Cash-Out</t>
        </is>
      </c>
      <c r="G241" s="31" t="inlineStr">
        <is>
          <t>Kuda Bank</t>
        </is>
      </c>
      <c r="H241" s="32" t="n">
        <v>3000</v>
      </c>
      <c r="I241" s="32" t="n">
        <v>100</v>
      </c>
      <c r="J241" s="32" t="n">
        <v>25</v>
      </c>
      <c r="K241" s="32">
        <f>I241-J241</f>
        <v/>
      </c>
      <c r="L241" s="30" t="inlineStr">
        <is>
          <t>Successful</t>
        </is>
      </c>
      <c r="M241" s="31" t="inlineStr">
        <is>
          <t>None</t>
        </is>
      </c>
    </row>
    <row r="242">
      <c r="A242" s="27" t="inlineStr">
        <is>
          <t>POS-2026-0241</t>
        </is>
      </c>
      <c r="B242" s="27" t="inlineStr">
        <is>
          <t>2026-03-28 09:38:52</t>
        </is>
      </c>
      <c r="C242" s="27" t="inlineStr">
        <is>
          <t>2026-03-28</t>
        </is>
      </c>
      <c r="D242" s="28" t="inlineStr">
        <is>
          <t>Saturday</t>
        </is>
      </c>
      <c r="E242" s="27" t="n">
        <v>9</v>
      </c>
      <c r="F242" s="28" t="inlineStr">
        <is>
          <t>Cash-Out</t>
        </is>
      </c>
      <c r="G242" s="28" t="inlineStr">
        <is>
          <t>Kuda Bank</t>
        </is>
      </c>
      <c r="H242" s="29" t="n">
        <v>15000</v>
      </c>
      <c r="I242" s="29" t="n">
        <v>300</v>
      </c>
      <c r="J242" s="29" t="n">
        <v>80</v>
      </c>
      <c r="K242" s="29">
        <f>I242-J242</f>
        <v/>
      </c>
      <c r="L242" s="27" t="inlineStr">
        <is>
          <t>Successful</t>
        </is>
      </c>
      <c r="M242" s="28" t="inlineStr">
        <is>
          <t>None</t>
        </is>
      </c>
    </row>
    <row r="243">
      <c r="A243" s="30" t="inlineStr">
        <is>
          <t>POS-2026-0242</t>
        </is>
      </c>
      <c r="B243" s="30" t="inlineStr">
        <is>
          <t>2026-03-28 12:18:19</t>
        </is>
      </c>
      <c r="C243" s="30" t="inlineStr">
        <is>
          <t>2026-03-28</t>
        </is>
      </c>
      <c r="D243" s="31" t="inlineStr">
        <is>
          <t>Saturday</t>
        </is>
      </c>
      <c r="E243" s="30" t="n">
        <v>12</v>
      </c>
      <c r="F243" s="31" t="inlineStr">
        <is>
          <t>Cash-Out</t>
        </is>
      </c>
      <c r="G243" s="31" t="inlineStr">
        <is>
          <t>Moniepoint</t>
        </is>
      </c>
      <c r="H243" s="32" t="n">
        <v>5000</v>
      </c>
      <c r="I243" s="32" t="n">
        <v>100</v>
      </c>
      <c r="J243" s="32" t="n">
        <v>25</v>
      </c>
      <c r="K243" s="32">
        <f>I243-J243</f>
        <v/>
      </c>
      <c r="L243" s="30" t="inlineStr">
        <is>
          <t>Successful</t>
        </is>
      </c>
      <c r="M243" s="31" t="inlineStr">
        <is>
          <t>None</t>
        </is>
      </c>
    </row>
    <row r="244">
      <c r="A244" s="27" t="inlineStr">
        <is>
          <t>POS-2026-0243</t>
        </is>
      </c>
      <c r="B244" s="27" t="inlineStr">
        <is>
          <t>2026-03-28 12:02:46</t>
        </is>
      </c>
      <c r="C244" s="27" t="inlineStr">
        <is>
          <t>2026-03-28</t>
        </is>
      </c>
      <c r="D244" s="28" t="inlineStr">
        <is>
          <t>Saturday</t>
        </is>
      </c>
      <c r="E244" s="27" t="n">
        <v>12</v>
      </c>
      <c r="F244" s="28" t="inlineStr">
        <is>
          <t>Bill Payment</t>
        </is>
      </c>
      <c r="G244" s="28" t="inlineStr">
        <is>
          <t>OPay</t>
        </is>
      </c>
      <c r="H244" s="29" t="n">
        <v>15000</v>
      </c>
      <c r="I244" s="29" t="n">
        <v>0</v>
      </c>
      <c r="J244" s="29" t="n">
        <v>0</v>
      </c>
      <c r="K244" s="29">
        <f>I244-J244</f>
        <v/>
      </c>
      <c r="L244" s="27" t="inlineStr">
        <is>
          <t>Failed</t>
        </is>
      </c>
      <c r="M244" s="28" t="inlineStr">
        <is>
          <t>Insufficient Agent Float</t>
        </is>
      </c>
    </row>
    <row r="245">
      <c r="A245" s="30" t="inlineStr">
        <is>
          <t>POS-2026-0244</t>
        </is>
      </c>
      <c r="B245" s="30" t="inlineStr">
        <is>
          <t>2026-03-29 09:40:25</t>
        </is>
      </c>
      <c r="C245" s="30" t="inlineStr">
        <is>
          <t>2026-03-29</t>
        </is>
      </c>
      <c r="D245" s="31" t="inlineStr">
        <is>
          <t>Sunday</t>
        </is>
      </c>
      <c r="E245" s="30" t="n">
        <v>9</v>
      </c>
      <c r="F245" s="31" t="inlineStr">
        <is>
          <t>Cash-Out</t>
        </is>
      </c>
      <c r="G245" s="31" t="inlineStr">
        <is>
          <t>Zenith Bank</t>
        </is>
      </c>
      <c r="H245" s="32" t="n">
        <v>2000</v>
      </c>
      <c r="I245" s="32" t="n">
        <v>100</v>
      </c>
      <c r="J245" s="32" t="n">
        <v>25</v>
      </c>
      <c r="K245" s="32">
        <f>I245-J245</f>
        <v/>
      </c>
      <c r="L245" s="30" t="inlineStr">
        <is>
          <t>Successful</t>
        </is>
      </c>
      <c r="M245" s="31" t="inlineStr">
        <is>
          <t>None</t>
        </is>
      </c>
    </row>
    <row r="246">
      <c r="A246" s="27" t="inlineStr">
        <is>
          <t>POS-2026-0245</t>
        </is>
      </c>
      <c r="B246" s="27" t="inlineStr">
        <is>
          <t>2026-03-29 14:50:28</t>
        </is>
      </c>
      <c r="C246" s="27" t="inlineStr">
        <is>
          <t>2026-03-29</t>
        </is>
      </c>
      <c r="D246" s="28" t="inlineStr">
        <is>
          <t>Sunday</t>
        </is>
      </c>
      <c r="E246" s="27" t="n">
        <v>14</v>
      </c>
      <c r="F246" s="28" t="inlineStr">
        <is>
          <t>Cash-Out</t>
        </is>
      </c>
      <c r="G246" s="28" t="inlineStr">
        <is>
          <t>Access Bank</t>
        </is>
      </c>
      <c r="H246" s="29" t="n">
        <v>7000</v>
      </c>
      <c r="I246" s="29" t="n">
        <v>200</v>
      </c>
      <c r="J246" s="29" t="n">
        <v>50</v>
      </c>
      <c r="K246" s="29">
        <f>I246-J246</f>
        <v/>
      </c>
      <c r="L246" s="27" t="inlineStr">
        <is>
          <t>Successful</t>
        </is>
      </c>
      <c r="M246" s="28" t="inlineStr">
        <is>
          <t>None</t>
        </is>
      </c>
    </row>
    <row r="247">
      <c r="A247" s="30" t="inlineStr">
        <is>
          <t>POS-2026-0246</t>
        </is>
      </c>
      <c r="B247" s="30" t="inlineStr">
        <is>
          <t>2026-03-29 12:24:36</t>
        </is>
      </c>
      <c r="C247" s="30" t="inlineStr">
        <is>
          <t>2026-03-29</t>
        </is>
      </c>
      <c r="D247" s="31" t="inlineStr">
        <is>
          <t>Sunday</t>
        </is>
      </c>
      <c r="E247" s="30" t="n">
        <v>12</v>
      </c>
      <c r="F247" s="31" t="inlineStr">
        <is>
          <t>Cash-Out</t>
        </is>
      </c>
      <c r="G247" s="31" t="inlineStr">
        <is>
          <t>Zenith Bank</t>
        </is>
      </c>
      <c r="H247" s="32" t="n">
        <v>25000</v>
      </c>
      <c r="I247" s="32" t="n">
        <v>0</v>
      </c>
      <c r="J247" s="32" t="n">
        <v>0</v>
      </c>
      <c r="K247" s="32">
        <f>I247-J247</f>
        <v/>
      </c>
      <c r="L247" s="30" t="inlineStr">
        <is>
          <t>Failed</t>
        </is>
      </c>
      <c r="M247" s="31" t="inlineStr">
        <is>
          <t>Insufficient Agent Float</t>
        </is>
      </c>
    </row>
    <row r="248">
      <c r="A248" s="27" t="inlineStr">
        <is>
          <t>POS-2026-0247</t>
        </is>
      </c>
      <c r="B248" s="27" t="inlineStr">
        <is>
          <t>2026-03-29 13:04:36</t>
        </is>
      </c>
      <c r="C248" s="27" t="inlineStr">
        <is>
          <t>2026-03-29</t>
        </is>
      </c>
      <c r="D248" s="28" t="inlineStr">
        <is>
          <t>Sunday</t>
        </is>
      </c>
      <c r="E248" s="27" t="n">
        <v>13</v>
      </c>
      <c r="F248" s="28" t="inlineStr">
        <is>
          <t>Cash-Out</t>
        </is>
      </c>
      <c r="G248" s="28" t="inlineStr">
        <is>
          <t>OPay</t>
        </is>
      </c>
      <c r="H248" s="29" t="n">
        <v>20000</v>
      </c>
      <c r="I248" s="29" t="n">
        <v>300</v>
      </c>
      <c r="J248" s="29" t="n">
        <v>80</v>
      </c>
      <c r="K248" s="29">
        <f>I248-J248</f>
        <v/>
      </c>
      <c r="L248" s="27" t="inlineStr">
        <is>
          <t>Successful</t>
        </is>
      </c>
      <c r="M248" s="28" t="inlineStr">
        <is>
          <t>None</t>
        </is>
      </c>
    </row>
    <row r="249">
      <c r="A249" s="30" t="inlineStr">
        <is>
          <t>POS-2026-0248</t>
        </is>
      </c>
      <c r="B249" s="30" t="inlineStr">
        <is>
          <t>2026-03-29 12:07:01</t>
        </is>
      </c>
      <c r="C249" s="30" t="inlineStr">
        <is>
          <t>2026-03-29</t>
        </is>
      </c>
      <c r="D249" s="31" t="inlineStr">
        <is>
          <t>Sunday</t>
        </is>
      </c>
      <c r="E249" s="30" t="n">
        <v>12</v>
      </c>
      <c r="F249" s="31" t="inlineStr">
        <is>
          <t>Cash-In</t>
        </is>
      </c>
      <c r="G249" s="31" t="inlineStr">
        <is>
          <t>UBA</t>
        </is>
      </c>
      <c r="H249" s="32" t="n">
        <v>20000</v>
      </c>
      <c r="I249" s="32" t="n">
        <v>200</v>
      </c>
      <c r="J249" s="32" t="n">
        <v>50</v>
      </c>
      <c r="K249" s="32">
        <f>I249-J249</f>
        <v/>
      </c>
      <c r="L249" s="30" t="inlineStr">
        <is>
          <t>Successful</t>
        </is>
      </c>
      <c r="M249" s="31" t="inlineStr">
        <is>
          <t>None</t>
        </is>
      </c>
    </row>
    <row r="250">
      <c r="A250" s="27" t="inlineStr">
        <is>
          <t>POS-2026-0249</t>
        </is>
      </c>
      <c r="B250" s="27" t="inlineStr">
        <is>
          <t>2026-03-29 14:16:49</t>
        </is>
      </c>
      <c r="C250" s="27" t="inlineStr">
        <is>
          <t>2026-03-29</t>
        </is>
      </c>
      <c r="D250" s="28" t="inlineStr">
        <is>
          <t>Sunday</t>
        </is>
      </c>
      <c r="E250" s="27" t="n">
        <v>14</v>
      </c>
      <c r="F250" s="28" t="inlineStr">
        <is>
          <t>Cash-Out</t>
        </is>
      </c>
      <c r="G250" s="28" t="inlineStr">
        <is>
          <t>UBA</t>
        </is>
      </c>
      <c r="H250" s="29" t="n">
        <v>7000</v>
      </c>
      <c r="I250" s="29" t="n">
        <v>0</v>
      </c>
      <c r="J250" s="29" t="n">
        <v>0</v>
      </c>
      <c r="K250" s="29">
        <f>I250-J250</f>
        <v/>
      </c>
      <c r="L250" s="27" t="inlineStr">
        <is>
          <t>Failed</t>
        </is>
      </c>
      <c r="M250" s="28" t="inlineStr">
        <is>
          <t>Insufficient Agent Float</t>
        </is>
      </c>
    </row>
    <row r="251">
      <c r="A251" s="30" t="inlineStr">
        <is>
          <t>POS-2026-0250</t>
        </is>
      </c>
      <c r="B251" s="30" t="inlineStr">
        <is>
          <t>2026-03-29 15:31:12</t>
        </is>
      </c>
      <c r="C251" s="30" t="inlineStr">
        <is>
          <t>2026-03-29</t>
        </is>
      </c>
      <c r="D251" s="31" t="inlineStr">
        <is>
          <t>Sunday</t>
        </is>
      </c>
      <c r="E251" s="30" t="n">
        <v>15</v>
      </c>
      <c r="F251" s="31" t="inlineStr">
        <is>
          <t>Cash-Out</t>
        </is>
      </c>
      <c r="G251" s="31" t="inlineStr">
        <is>
          <t>Access Bank</t>
        </is>
      </c>
      <c r="H251" s="32" t="n">
        <v>25000</v>
      </c>
      <c r="I251" s="32" t="n">
        <v>300</v>
      </c>
      <c r="J251" s="32" t="n">
        <v>80</v>
      </c>
      <c r="K251" s="32">
        <f>I251-J251</f>
        <v/>
      </c>
      <c r="L251" s="30" t="inlineStr">
        <is>
          <t>Successful</t>
        </is>
      </c>
      <c r="M251" s="31" t="inlineStr">
        <is>
          <t>None</t>
        </is>
      </c>
    </row>
    <row r="252">
      <c r="A252" s="27" t="inlineStr">
        <is>
          <t>POS-2026-0251</t>
        </is>
      </c>
      <c r="B252" s="27" t="inlineStr">
        <is>
          <t>2026-03-30 21:51:43</t>
        </is>
      </c>
      <c r="C252" s="27" t="inlineStr">
        <is>
          <t>2026-03-30</t>
        </is>
      </c>
      <c r="D252" s="28" t="inlineStr">
        <is>
          <t>Monday</t>
        </is>
      </c>
      <c r="E252" s="27" t="n">
        <v>21</v>
      </c>
      <c r="F252" s="28" t="inlineStr">
        <is>
          <t>Airtime</t>
        </is>
      </c>
      <c r="G252" s="28" t="inlineStr">
        <is>
          <t>OPay</t>
        </is>
      </c>
      <c r="H252" s="29" t="n">
        <v>2000</v>
      </c>
      <c r="I252" s="29" t="n">
        <v>40</v>
      </c>
      <c r="J252" s="29" t="n">
        <v>10</v>
      </c>
      <c r="K252" s="29">
        <f>I252-J252</f>
        <v/>
      </c>
      <c r="L252" s="27" t="inlineStr">
        <is>
          <t>Successful</t>
        </is>
      </c>
      <c r="M252" s="28" t="inlineStr">
        <is>
          <t>None</t>
        </is>
      </c>
    </row>
    <row r="253">
      <c r="A253" s="30" t="inlineStr">
        <is>
          <t>POS-2026-0252</t>
        </is>
      </c>
      <c r="B253" s="30" t="inlineStr">
        <is>
          <t>2026-03-30 14:18:57</t>
        </is>
      </c>
      <c r="C253" s="30" t="inlineStr">
        <is>
          <t>2026-03-30</t>
        </is>
      </c>
      <c r="D253" s="31" t="inlineStr">
        <is>
          <t>Monday</t>
        </is>
      </c>
      <c r="E253" s="30" t="n">
        <v>14</v>
      </c>
      <c r="F253" s="31" t="inlineStr">
        <is>
          <t>Cash-Out</t>
        </is>
      </c>
      <c r="G253" s="31" t="inlineStr">
        <is>
          <t>Zenith Bank</t>
        </is>
      </c>
      <c r="H253" s="32" t="n">
        <v>5000</v>
      </c>
      <c r="I253" s="32" t="n">
        <v>100</v>
      </c>
      <c r="J253" s="32" t="n">
        <v>25</v>
      </c>
      <c r="K253" s="32">
        <f>I253-J253</f>
        <v/>
      </c>
      <c r="L253" s="30" t="inlineStr">
        <is>
          <t>Successful</t>
        </is>
      </c>
      <c r="M253" s="31" t="inlineStr">
        <is>
          <t>None</t>
        </is>
      </c>
    </row>
    <row r="254">
      <c r="A254" s="27" t="inlineStr">
        <is>
          <t>POS-2026-0253</t>
        </is>
      </c>
      <c r="B254" s="27" t="inlineStr">
        <is>
          <t>2026-03-30 14:07:12</t>
        </is>
      </c>
      <c r="C254" s="27" t="inlineStr">
        <is>
          <t>2026-03-30</t>
        </is>
      </c>
      <c r="D254" s="28" t="inlineStr">
        <is>
          <t>Monday</t>
        </is>
      </c>
      <c r="E254" s="27" t="n">
        <v>14</v>
      </c>
      <c r="F254" s="28" t="inlineStr">
        <is>
          <t>Cash-In</t>
        </is>
      </c>
      <c r="G254" s="28" t="inlineStr">
        <is>
          <t>First Bank</t>
        </is>
      </c>
      <c r="H254" s="29" t="n">
        <v>50000</v>
      </c>
      <c r="I254" s="29" t="n">
        <v>200</v>
      </c>
      <c r="J254" s="29" t="n">
        <v>50</v>
      </c>
      <c r="K254" s="29">
        <f>I254-J254</f>
        <v/>
      </c>
      <c r="L254" s="27" t="inlineStr">
        <is>
          <t>Successful</t>
        </is>
      </c>
      <c r="M254" s="28" t="inlineStr">
        <is>
          <t>None</t>
        </is>
      </c>
    </row>
    <row r="255">
      <c r="A255" s="30" t="inlineStr">
        <is>
          <t>POS-2026-0254</t>
        </is>
      </c>
      <c r="B255" s="30" t="inlineStr">
        <is>
          <t>2026-03-30 12:36:23</t>
        </is>
      </c>
      <c r="C255" s="30" t="inlineStr">
        <is>
          <t>2026-03-30</t>
        </is>
      </c>
      <c r="D255" s="31" t="inlineStr">
        <is>
          <t>Monday</t>
        </is>
      </c>
      <c r="E255" s="30" t="n">
        <v>12</v>
      </c>
      <c r="F255" s="31" t="inlineStr">
        <is>
          <t>Cash-Out</t>
        </is>
      </c>
      <c r="G255" s="31" t="inlineStr">
        <is>
          <t>Zenith Bank</t>
        </is>
      </c>
      <c r="H255" s="32" t="n">
        <v>3000</v>
      </c>
      <c r="I255" s="32" t="n">
        <v>100</v>
      </c>
      <c r="J255" s="32" t="n">
        <v>25</v>
      </c>
      <c r="K255" s="32">
        <f>I255-J255</f>
        <v/>
      </c>
      <c r="L255" s="30" t="inlineStr">
        <is>
          <t>Successful</t>
        </is>
      </c>
      <c r="M255" s="31" t="inlineStr">
        <is>
          <t>None</t>
        </is>
      </c>
    </row>
    <row r="256">
      <c r="A256" s="27" t="inlineStr">
        <is>
          <t>POS-2026-0255</t>
        </is>
      </c>
      <c r="B256" s="27" t="inlineStr">
        <is>
          <t>2026-03-30 13:45:46</t>
        </is>
      </c>
      <c r="C256" s="27" t="inlineStr">
        <is>
          <t>2026-03-30</t>
        </is>
      </c>
      <c r="D256" s="28" t="inlineStr">
        <is>
          <t>Monday</t>
        </is>
      </c>
      <c r="E256" s="27" t="n">
        <v>13</v>
      </c>
      <c r="F256" s="28" t="inlineStr">
        <is>
          <t>Cash-Out</t>
        </is>
      </c>
      <c r="G256" s="28" t="inlineStr">
        <is>
          <t>Moniepoint</t>
        </is>
      </c>
      <c r="H256" s="29" t="n">
        <v>20000</v>
      </c>
      <c r="I256" s="29" t="n">
        <v>300</v>
      </c>
      <c r="J256" s="29" t="n">
        <v>80</v>
      </c>
      <c r="K256" s="29">
        <f>I256-J256</f>
        <v/>
      </c>
      <c r="L256" s="27" t="inlineStr">
        <is>
          <t>Successful</t>
        </is>
      </c>
      <c r="M256" s="28" t="inlineStr">
        <is>
          <t>None</t>
        </is>
      </c>
    </row>
    <row r="257">
      <c r="A257" s="30" t="inlineStr">
        <is>
          <t>POS-2026-0256</t>
        </is>
      </c>
      <c r="B257" s="30" t="inlineStr">
        <is>
          <t>2026-03-30 08:20:41</t>
        </is>
      </c>
      <c r="C257" s="30" t="inlineStr">
        <is>
          <t>2026-03-30</t>
        </is>
      </c>
      <c r="D257" s="31" t="inlineStr">
        <is>
          <t>Monday</t>
        </is>
      </c>
      <c r="E257" s="30" t="n">
        <v>8</v>
      </c>
      <c r="F257" s="31" t="inlineStr">
        <is>
          <t>Cash-Out</t>
        </is>
      </c>
      <c r="G257" s="31" t="inlineStr">
        <is>
          <t>UBA</t>
        </is>
      </c>
      <c r="H257" s="32" t="n">
        <v>15000</v>
      </c>
      <c r="I257" s="32" t="n">
        <v>300</v>
      </c>
      <c r="J257" s="32" t="n">
        <v>80</v>
      </c>
      <c r="K257" s="32">
        <f>I257-J257</f>
        <v/>
      </c>
      <c r="L257" s="30" t="inlineStr">
        <is>
          <t>Successful</t>
        </is>
      </c>
      <c r="M257" s="31" t="inlineStr">
        <is>
          <t>None</t>
        </is>
      </c>
    </row>
    <row r="258">
      <c r="A258" s="27" t="inlineStr">
        <is>
          <t>POS-2026-0257</t>
        </is>
      </c>
      <c r="B258" s="27" t="inlineStr">
        <is>
          <t>2026-03-30 17:35:40</t>
        </is>
      </c>
      <c r="C258" s="27" t="inlineStr">
        <is>
          <t>2026-03-30</t>
        </is>
      </c>
      <c r="D258" s="28" t="inlineStr">
        <is>
          <t>Monday</t>
        </is>
      </c>
      <c r="E258" s="27" t="n">
        <v>17</v>
      </c>
      <c r="F258" s="28" t="inlineStr">
        <is>
          <t>Cash-In</t>
        </is>
      </c>
      <c r="G258" s="28" t="inlineStr">
        <is>
          <t>Zenith Bank</t>
        </is>
      </c>
      <c r="H258" s="29" t="n">
        <v>15000</v>
      </c>
      <c r="I258" s="29" t="n">
        <v>200</v>
      </c>
      <c r="J258" s="29" t="n">
        <v>50</v>
      </c>
      <c r="K258" s="29">
        <f>I258-J258</f>
        <v/>
      </c>
      <c r="L258" s="27" t="inlineStr">
        <is>
          <t>Successful</t>
        </is>
      </c>
      <c r="M258" s="28" t="inlineStr">
        <is>
          <t>None</t>
        </is>
      </c>
    </row>
    <row r="259">
      <c r="A259" s="30" t="inlineStr">
        <is>
          <t>POS-2026-0258</t>
        </is>
      </c>
      <c r="B259" s="30" t="inlineStr">
        <is>
          <t>2026-03-30 18:53:07</t>
        </is>
      </c>
      <c r="C259" s="30" t="inlineStr">
        <is>
          <t>2026-03-30</t>
        </is>
      </c>
      <c r="D259" s="31" t="inlineStr">
        <is>
          <t>Monday</t>
        </is>
      </c>
      <c r="E259" s="30" t="n">
        <v>18</v>
      </c>
      <c r="F259" s="31" t="inlineStr">
        <is>
          <t>Cash-Out</t>
        </is>
      </c>
      <c r="G259" s="31" t="inlineStr">
        <is>
          <t>Kuda Bank</t>
        </is>
      </c>
      <c r="H259" s="32" t="n">
        <v>5000</v>
      </c>
      <c r="I259" s="32" t="n">
        <v>100</v>
      </c>
      <c r="J259" s="32" t="n">
        <v>25</v>
      </c>
      <c r="K259" s="32">
        <f>I259-J259</f>
        <v/>
      </c>
      <c r="L259" s="30" t="inlineStr">
        <is>
          <t>Successful</t>
        </is>
      </c>
      <c r="M259" s="31" t="inlineStr">
        <is>
          <t>None</t>
        </is>
      </c>
    </row>
    <row r="260">
      <c r="A260" s="27" t="inlineStr">
        <is>
          <t>POS-2026-0259</t>
        </is>
      </c>
      <c r="B260" s="27" t="inlineStr">
        <is>
          <t>2026-03-30 19:14:22</t>
        </is>
      </c>
      <c r="C260" s="27" t="inlineStr">
        <is>
          <t>2026-03-30</t>
        </is>
      </c>
      <c r="D260" s="28" t="inlineStr">
        <is>
          <t>Monday</t>
        </is>
      </c>
      <c r="E260" s="27" t="n">
        <v>19</v>
      </c>
      <c r="F260" s="28" t="inlineStr">
        <is>
          <t>Airtime</t>
        </is>
      </c>
      <c r="G260" s="28" t="inlineStr">
        <is>
          <t>Kuda Bank</t>
        </is>
      </c>
      <c r="H260" s="29" t="n">
        <v>500</v>
      </c>
      <c r="I260" s="29" t="n">
        <v>10</v>
      </c>
      <c r="J260" s="29" t="n">
        <v>2</v>
      </c>
      <c r="K260" s="29">
        <f>I260-J260</f>
        <v/>
      </c>
      <c r="L260" s="27" t="inlineStr">
        <is>
          <t>Successful</t>
        </is>
      </c>
      <c r="M260" s="28" t="inlineStr">
        <is>
          <t>None</t>
        </is>
      </c>
    </row>
    <row r="261">
      <c r="A261" s="30" t="inlineStr">
        <is>
          <t>POS-2026-0260</t>
        </is>
      </c>
      <c r="B261" s="30" t="inlineStr">
        <is>
          <t>2026-03-30 15:35:17</t>
        </is>
      </c>
      <c r="C261" s="30" t="inlineStr">
        <is>
          <t>2026-03-30</t>
        </is>
      </c>
      <c r="D261" s="31" t="inlineStr">
        <is>
          <t>Monday</t>
        </is>
      </c>
      <c r="E261" s="30" t="n">
        <v>15</v>
      </c>
      <c r="F261" s="31" t="inlineStr">
        <is>
          <t>Cash-Out</t>
        </is>
      </c>
      <c r="G261" s="31" t="inlineStr">
        <is>
          <t>Kuda Bank</t>
        </is>
      </c>
      <c r="H261" s="32" t="n">
        <v>3000</v>
      </c>
      <c r="I261" s="32" t="n">
        <v>100</v>
      </c>
      <c r="J261" s="32" t="n">
        <v>25</v>
      </c>
      <c r="K261" s="32">
        <f>I261-J261</f>
        <v/>
      </c>
      <c r="L261" s="30" t="inlineStr">
        <is>
          <t>Successful</t>
        </is>
      </c>
      <c r="M261" s="31" t="inlineStr">
        <is>
          <t>None</t>
        </is>
      </c>
    </row>
    <row r="262">
      <c r="A262" s="27" t="inlineStr">
        <is>
          <t>POS-2026-0261</t>
        </is>
      </c>
      <c r="B262" s="27" t="inlineStr">
        <is>
          <t>2026-03-31 14:37:09</t>
        </is>
      </c>
      <c r="C262" s="27" t="inlineStr">
        <is>
          <t>2026-03-31</t>
        </is>
      </c>
      <c r="D262" s="28" t="inlineStr">
        <is>
          <t>Tuesday</t>
        </is>
      </c>
      <c r="E262" s="27" t="n">
        <v>14</v>
      </c>
      <c r="F262" s="28" t="inlineStr">
        <is>
          <t>Cash-Out</t>
        </is>
      </c>
      <c r="G262" s="28" t="inlineStr">
        <is>
          <t>OPay</t>
        </is>
      </c>
      <c r="H262" s="29" t="n">
        <v>2000</v>
      </c>
      <c r="I262" s="29" t="n">
        <v>100</v>
      </c>
      <c r="J262" s="29" t="n">
        <v>25</v>
      </c>
      <c r="K262" s="29">
        <f>I262-J262</f>
        <v/>
      </c>
      <c r="L262" s="27" t="inlineStr">
        <is>
          <t>Successful</t>
        </is>
      </c>
      <c r="M262" s="28" t="inlineStr">
        <is>
          <t>None</t>
        </is>
      </c>
    </row>
    <row r="263">
      <c r="A263" s="30" t="inlineStr">
        <is>
          <t>POS-2026-0262</t>
        </is>
      </c>
      <c r="B263" s="30" t="inlineStr">
        <is>
          <t>2026-03-31 07:02:41</t>
        </is>
      </c>
      <c r="C263" s="30" t="inlineStr">
        <is>
          <t>2026-03-31</t>
        </is>
      </c>
      <c r="D263" s="31" t="inlineStr">
        <is>
          <t>Tuesday</t>
        </is>
      </c>
      <c r="E263" s="30" t="n">
        <v>7</v>
      </c>
      <c r="F263" s="31" t="inlineStr">
        <is>
          <t>Cash-In</t>
        </is>
      </c>
      <c r="G263" s="31" t="inlineStr">
        <is>
          <t>Kuda Bank</t>
        </is>
      </c>
      <c r="H263" s="32" t="n">
        <v>40000</v>
      </c>
      <c r="I263" s="32" t="n">
        <v>200</v>
      </c>
      <c r="J263" s="32" t="n">
        <v>50</v>
      </c>
      <c r="K263" s="32">
        <f>I263-J263</f>
        <v/>
      </c>
      <c r="L263" s="30" t="inlineStr">
        <is>
          <t>Successful</t>
        </is>
      </c>
      <c r="M263" s="31" t="inlineStr">
        <is>
          <t>None</t>
        </is>
      </c>
    </row>
    <row r="264">
      <c r="A264" s="27" t="inlineStr">
        <is>
          <t>POS-2026-0263</t>
        </is>
      </c>
      <c r="B264" s="27" t="inlineStr">
        <is>
          <t>2026-03-31 14:39:40</t>
        </is>
      </c>
      <c r="C264" s="27" t="inlineStr">
        <is>
          <t>2026-03-31</t>
        </is>
      </c>
      <c r="D264" s="28" t="inlineStr">
        <is>
          <t>Tuesday</t>
        </is>
      </c>
      <c r="E264" s="27" t="n">
        <v>14</v>
      </c>
      <c r="F264" s="28" t="inlineStr">
        <is>
          <t>Cash-Out</t>
        </is>
      </c>
      <c r="G264" s="28" t="inlineStr">
        <is>
          <t>Kuda Bank</t>
        </is>
      </c>
      <c r="H264" s="29" t="n">
        <v>10000</v>
      </c>
      <c r="I264" s="29" t="n">
        <v>200</v>
      </c>
      <c r="J264" s="29" t="n">
        <v>50</v>
      </c>
      <c r="K264" s="29">
        <f>I264-J264</f>
        <v/>
      </c>
      <c r="L264" s="27" t="inlineStr">
        <is>
          <t>Successful</t>
        </is>
      </c>
      <c r="M264" s="28" t="inlineStr">
        <is>
          <t>None</t>
        </is>
      </c>
    </row>
    <row r="265">
      <c r="A265" s="30" t="inlineStr">
        <is>
          <t>POS-2026-0264</t>
        </is>
      </c>
      <c r="B265" s="30" t="inlineStr">
        <is>
          <t>2026-03-31 17:43:25</t>
        </is>
      </c>
      <c r="C265" s="30" t="inlineStr">
        <is>
          <t>2026-03-31</t>
        </is>
      </c>
      <c r="D265" s="31" t="inlineStr">
        <is>
          <t>Tuesday</t>
        </is>
      </c>
      <c r="E265" s="30" t="n">
        <v>17</v>
      </c>
      <c r="F265" s="31" t="inlineStr">
        <is>
          <t>Cash-Out</t>
        </is>
      </c>
      <c r="G265" s="31" t="inlineStr">
        <is>
          <t>Access Bank</t>
        </is>
      </c>
      <c r="H265" s="32" t="n">
        <v>2000</v>
      </c>
      <c r="I265" s="32" t="n">
        <v>100</v>
      </c>
      <c r="J265" s="32" t="n">
        <v>25</v>
      </c>
      <c r="K265" s="32">
        <f>I265-J265</f>
        <v/>
      </c>
      <c r="L265" s="30" t="inlineStr">
        <is>
          <t>Successful</t>
        </is>
      </c>
      <c r="M265" s="31" t="inlineStr">
        <is>
          <t>None</t>
        </is>
      </c>
    </row>
    <row r="266">
      <c r="A266" s="27" t="inlineStr">
        <is>
          <t>POS-2026-0265</t>
        </is>
      </c>
      <c r="B266" s="27" t="inlineStr">
        <is>
          <t>2026-03-31 13:29:13</t>
        </is>
      </c>
      <c r="C266" s="27" t="inlineStr">
        <is>
          <t>2026-03-31</t>
        </is>
      </c>
      <c r="D266" s="28" t="inlineStr">
        <is>
          <t>Tuesday</t>
        </is>
      </c>
      <c r="E266" s="27" t="n">
        <v>13</v>
      </c>
      <c r="F266" s="28" t="inlineStr">
        <is>
          <t>Cash-Out</t>
        </is>
      </c>
      <c r="G266" s="28" t="inlineStr">
        <is>
          <t>Zenith Bank</t>
        </is>
      </c>
      <c r="H266" s="29" t="n">
        <v>15000</v>
      </c>
      <c r="I266" s="29" t="n">
        <v>300</v>
      </c>
      <c r="J266" s="29" t="n">
        <v>80</v>
      </c>
      <c r="K266" s="29">
        <f>I266-J266</f>
        <v/>
      </c>
      <c r="L266" s="27" t="inlineStr">
        <is>
          <t>Successful</t>
        </is>
      </c>
      <c r="M266" s="28" t="inlineStr">
        <is>
          <t>None</t>
        </is>
      </c>
    </row>
    <row r="267">
      <c r="A267" s="30" t="inlineStr">
        <is>
          <t>POS-2026-0266</t>
        </is>
      </c>
      <c r="B267" s="30" t="inlineStr">
        <is>
          <t>2026-03-31 12:55:22</t>
        </is>
      </c>
      <c r="C267" s="30" t="inlineStr">
        <is>
          <t>2026-03-31</t>
        </is>
      </c>
      <c r="D267" s="31" t="inlineStr">
        <is>
          <t>Tuesday</t>
        </is>
      </c>
      <c r="E267" s="30" t="n">
        <v>12</v>
      </c>
      <c r="F267" s="31" t="inlineStr">
        <is>
          <t>Airtime</t>
        </is>
      </c>
      <c r="G267" s="31" t="inlineStr">
        <is>
          <t>Zenith Bank</t>
        </is>
      </c>
      <c r="H267" s="32" t="n">
        <v>2000</v>
      </c>
      <c r="I267" s="32" t="n">
        <v>40</v>
      </c>
      <c r="J267" s="32" t="n">
        <v>10</v>
      </c>
      <c r="K267" s="32">
        <f>I267-J267</f>
        <v/>
      </c>
      <c r="L267" s="30" t="inlineStr">
        <is>
          <t>Successful</t>
        </is>
      </c>
      <c r="M267" s="31" t="inlineStr">
        <is>
          <t>None</t>
        </is>
      </c>
    </row>
    <row r="268">
      <c r="A268" s="27" t="inlineStr">
        <is>
          <t>POS-2026-0267</t>
        </is>
      </c>
      <c r="B268" s="27" t="inlineStr">
        <is>
          <t>2026-03-31 09:15:29</t>
        </is>
      </c>
      <c r="C268" s="27" t="inlineStr">
        <is>
          <t>2026-03-31</t>
        </is>
      </c>
      <c r="D268" s="28" t="inlineStr">
        <is>
          <t>Tuesday</t>
        </is>
      </c>
      <c r="E268" s="27" t="n">
        <v>9</v>
      </c>
      <c r="F268" s="28" t="inlineStr">
        <is>
          <t>Cash-Out</t>
        </is>
      </c>
      <c r="G268" s="28" t="inlineStr">
        <is>
          <t>UBA</t>
        </is>
      </c>
      <c r="H268" s="29" t="n">
        <v>7000</v>
      </c>
      <c r="I268" s="29" t="n">
        <v>200</v>
      </c>
      <c r="J268" s="29" t="n">
        <v>50</v>
      </c>
      <c r="K268" s="29">
        <f>I268-J268</f>
        <v/>
      </c>
      <c r="L268" s="27" t="inlineStr">
        <is>
          <t>Successful</t>
        </is>
      </c>
      <c r="M268" s="28" t="inlineStr">
        <is>
          <t>None</t>
        </is>
      </c>
    </row>
    <row r="269">
      <c r="A269" s="30" t="inlineStr">
        <is>
          <t>POS-2026-0268</t>
        </is>
      </c>
      <c r="B269" s="30" t="inlineStr">
        <is>
          <t>2026-03-31 08:24:55</t>
        </is>
      </c>
      <c r="C269" s="30" t="inlineStr">
        <is>
          <t>2026-03-31</t>
        </is>
      </c>
      <c r="D269" s="31" t="inlineStr">
        <is>
          <t>Tuesday</t>
        </is>
      </c>
      <c r="E269" s="30" t="n">
        <v>8</v>
      </c>
      <c r="F269" s="31" t="inlineStr">
        <is>
          <t>Cash-In</t>
        </is>
      </c>
      <c r="G269" s="31" t="inlineStr">
        <is>
          <t>First Bank</t>
        </is>
      </c>
      <c r="H269" s="32" t="n">
        <v>50000</v>
      </c>
      <c r="I269" s="32" t="n">
        <v>200</v>
      </c>
      <c r="J269" s="32" t="n">
        <v>50</v>
      </c>
      <c r="K269" s="32">
        <f>I269-J269</f>
        <v/>
      </c>
      <c r="L269" s="30" t="inlineStr">
        <is>
          <t>Successful</t>
        </is>
      </c>
      <c r="M269" s="31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30" customWidth="1" min="2" max="2"/>
    <col width="130" customWidth="1" min="3" max="3"/>
    <col width="98" customWidth="1" min="4" max="4"/>
    <col width="81" customWidth="1" min="5" max="5"/>
    <col width="24" customWidth="1" min="6" max="6"/>
  </cols>
  <sheetData>
    <row r="1">
      <c r="A1" s="19" t="inlineStr">
        <is>
          <t>Aggregated KPI Engine &amp; Pivot Summaries</t>
        </is>
      </c>
    </row>
    <row r="2"/>
    <row r="3">
      <c r="A3" s="33" t="inlineStr">
        <is>
          <t>1. Performance Breakdown by Transaction Type</t>
        </is>
      </c>
    </row>
    <row r="4">
      <c r="A4" s="34" t="inlineStr">
        <is>
          <t>Transaction Type</t>
        </is>
      </c>
      <c r="B4" s="34" t="inlineStr">
        <is>
          <t>Total Volume (NGN)</t>
        </is>
      </c>
      <c r="C4" s="34" t="inlineStr">
        <is>
          <t>Total Count</t>
        </is>
      </c>
      <c r="D4" s="34" t="inlineStr">
        <is>
          <t>Successful Count</t>
        </is>
      </c>
      <c r="E4" s="34" t="inlineStr">
        <is>
          <t>Net Profit (NGN)</t>
        </is>
      </c>
      <c r="F4" s="34" t="inlineStr">
        <is>
          <t>Avg Profit / Tx (NGN)</t>
        </is>
      </c>
    </row>
    <row r="5">
      <c r="A5" s="10" t="inlineStr">
        <is>
          <t>Cash-Out</t>
        </is>
      </c>
      <c r="B5" s="11">
        <f>SUMIFS('Cleaned Transactions'!H$2:H$269, 'Cleaned Transactions'!F$2:F$269, A5, 'Cleaned Transactions'!L$2:L$269, "Successful")</f>
        <v/>
      </c>
      <c r="C5" s="13">
        <f>COUNTIF('Cleaned Transactions'!F$2:F$269, A5)</f>
        <v/>
      </c>
      <c r="D5" s="13">
        <f>COUNTIFS('Cleaned Transactions'!F$2:F$269, A5, 'Cleaned Transactions'!L$2:L$269, "Successful")</f>
        <v/>
      </c>
      <c r="E5" s="11">
        <f>SUMIF('Cleaned Transactions'!F$2:F$269, A5, 'Cleaned Transactions'!K$2:K$269)</f>
        <v/>
      </c>
      <c r="F5" s="12">
        <f>IFERROR(E5/D5, 0)</f>
        <v/>
      </c>
    </row>
    <row r="6">
      <c r="A6" s="10" t="inlineStr">
        <is>
          <t>Cash-In</t>
        </is>
      </c>
      <c r="B6" s="11">
        <f>SUMIFS('Cleaned Transactions'!H$2:H$269, 'Cleaned Transactions'!F$2:F$269, A6, 'Cleaned Transactions'!L$2:L$269, "Successful")</f>
        <v/>
      </c>
      <c r="C6" s="13">
        <f>COUNTIF('Cleaned Transactions'!F$2:F$269, A6)</f>
        <v/>
      </c>
      <c r="D6" s="13">
        <f>COUNTIFS('Cleaned Transactions'!F$2:F$269, A6, 'Cleaned Transactions'!L$2:L$269, "Successful")</f>
        <v/>
      </c>
      <c r="E6" s="11">
        <f>SUMIF('Cleaned Transactions'!F$2:F$269, A6, 'Cleaned Transactions'!K$2:K$269)</f>
        <v/>
      </c>
      <c r="F6" s="12">
        <f>IFERROR(E6/D6, 0)</f>
        <v/>
      </c>
    </row>
    <row r="7">
      <c r="A7" s="10" t="inlineStr">
        <is>
          <t>Bill Payment</t>
        </is>
      </c>
      <c r="B7" s="11">
        <f>SUMIFS('Cleaned Transactions'!H$2:H$269, 'Cleaned Transactions'!F$2:F$269, A7, 'Cleaned Transactions'!L$2:L$269, "Successful")</f>
        <v/>
      </c>
      <c r="C7" s="13">
        <f>COUNTIF('Cleaned Transactions'!F$2:F$269, A7)</f>
        <v/>
      </c>
      <c r="D7" s="13">
        <f>COUNTIFS('Cleaned Transactions'!F$2:F$269, A7, 'Cleaned Transactions'!L$2:L$269, "Successful")</f>
        <v/>
      </c>
      <c r="E7" s="11">
        <f>SUMIF('Cleaned Transactions'!F$2:F$269, A7, 'Cleaned Transactions'!K$2:K$269)</f>
        <v/>
      </c>
      <c r="F7" s="12">
        <f>IFERROR(E7/D7, 0)</f>
        <v/>
      </c>
    </row>
    <row r="8">
      <c r="A8" s="10" t="inlineStr">
        <is>
          <t>Airtime</t>
        </is>
      </c>
      <c r="B8" s="11">
        <f>SUMIFS('Cleaned Transactions'!H$2:H$269, 'Cleaned Transactions'!F$2:F$269, A8, 'Cleaned Transactions'!L$2:L$269, "Successful")</f>
        <v/>
      </c>
      <c r="C8" s="13">
        <f>COUNTIF('Cleaned Transactions'!F$2:F$269, A8)</f>
        <v/>
      </c>
      <c r="D8" s="13">
        <f>COUNTIFS('Cleaned Transactions'!F$2:F$269, A8, 'Cleaned Transactions'!L$2:L$269, "Successful")</f>
        <v/>
      </c>
      <c r="E8" s="11">
        <f>SUMIF('Cleaned Transactions'!F$2:F$269, A8, 'Cleaned Transactions'!K$2:K$269)</f>
        <v/>
      </c>
      <c r="F8" s="12">
        <f>IFERROR(E8/D8, 0)</f>
        <v/>
      </c>
    </row>
    <row r="9">
      <c r="A9" s="15" t="inlineStr">
        <is>
          <t>Total</t>
        </is>
      </c>
      <c r="B9" s="16">
        <f>SUM(B5:B8)</f>
        <v/>
      </c>
      <c r="C9" s="35">
        <f>SUM(C5:C8)</f>
        <v/>
      </c>
      <c r="D9" s="35">
        <f>SUM(D5:D8)</f>
        <v/>
      </c>
      <c r="E9" s="16">
        <f>SUM(E5:E8)</f>
        <v/>
      </c>
      <c r="F9" s="17">
        <f>IFERROR(E9/D9, 0)</f>
        <v/>
      </c>
    </row>
    <row r="10"/>
    <row r="11"/>
    <row r="12">
      <c r="A12" s="33" t="inlineStr">
        <is>
          <t>2. Network Reliability &amp; Downtime by Bank</t>
        </is>
      </c>
    </row>
    <row r="13">
      <c r="A13" s="34" t="inlineStr">
        <is>
          <t>Bank Name</t>
        </is>
      </c>
      <c r="B13" s="34" t="inlineStr">
        <is>
          <t>Total Txns</t>
        </is>
      </c>
      <c r="C13" s="34" t="inlineStr">
        <is>
          <t>Successful</t>
        </is>
      </c>
      <c r="D13" s="34" t="inlineStr">
        <is>
          <t>Failed</t>
        </is>
      </c>
      <c r="E13" s="34" t="inlineStr">
        <is>
          <t>Success Rate (%)</t>
        </is>
      </c>
    </row>
    <row r="14">
      <c r="A14" s="10" t="inlineStr">
        <is>
          <t>GTBank</t>
        </is>
      </c>
      <c r="B14" s="13">
        <f>COUNTIF('Cleaned Transactions'!G$2:G$269, A14)</f>
        <v/>
      </c>
      <c r="C14" s="13">
        <f>COUNTIFS('Cleaned Transactions'!G$2:G$269, A14, 'Cleaned Transactions'!L$2:L$269, "Successful")</f>
        <v/>
      </c>
      <c r="D14" s="13">
        <f>COUNTIFS('Cleaned Transactions'!G$2:G$269, A14, 'Cleaned Transactions'!L$2:L$269, "Failed")</f>
        <v/>
      </c>
      <c r="E14" s="14">
        <f>IFERROR(C14/B14, 0)</f>
        <v/>
      </c>
    </row>
    <row r="15">
      <c r="A15" s="10" t="inlineStr">
        <is>
          <t>Access Bank</t>
        </is>
      </c>
      <c r="B15" s="13">
        <f>COUNTIF('Cleaned Transactions'!G$2:G$269, A15)</f>
        <v/>
      </c>
      <c r="C15" s="13">
        <f>COUNTIFS('Cleaned Transactions'!G$2:G$269, A15, 'Cleaned Transactions'!L$2:L$269, "Successful")</f>
        <v/>
      </c>
      <c r="D15" s="13">
        <f>COUNTIFS('Cleaned Transactions'!G$2:G$269, A15, 'Cleaned Transactions'!L$2:L$269, "Failed")</f>
        <v/>
      </c>
      <c r="E15" s="14">
        <f>IFERROR(C15/B15, 0)</f>
        <v/>
      </c>
    </row>
    <row r="16">
      <c r="A16" s="10" t="inlineStr">
        <is>
          <t>Zenith Bank</t>
        </is>
      </c>
      <c r="B16" s="13">
        <f>COUNTIF('Cleaned Transactions'!G$2:G$269, A16)</f>
        <v/>
      </c>
      <c r="C16" s="13">
        <f>COUNTIFS('Cleaned Transactions'!G$2:G$269, A16, 'Cleaned Transactions'!L$2:L$269, "Successful")</f>
        <v/>
      </c>
      <c r="D16" s="13">
        <f>COUNTIFS('Cleaned Transactions'!G$2:G$269, A16, 'Cleaned Transactions'!L$2:L$269, "Failed")</f>
        <v/>
      </c>
      <c r="E16" s="14">
        <f>IFERROR(C16/B16, 0)</f>
        <v/>
      </c>
    </row>
    <row r="17">
      <c r="A17" s="10" t="inlineStr">
        <is>
          <t>First Bank</t>
        </is>
      </c>
      <c r="B17" s="13">
        <f>COUNTIF('Cleaned Transactions'!G$2:G$269, A17)</f>
        <v/>
      </c>
      <c r="C17" s="13">
        <f>COUNTIFS('Cleaned Transactions'!G$2:G$269, A17, 'Cleaned Transactions'!L$2:L$269, "Successful")</f>
        <v/>
      </c>
      <c r="D17" s="13">
        <f>COUNTIFS('Cleaned Transactions'!G$2:G$269, A17, 'Cleaned Transactions'!L$2:L$269, "Failed")</f>
        <v/>
      </c>
      <c r="E17" s="14">
        <f>IFERROR(C17/B17, 0)</f>
        <v/>
      </c>
    </row>
    <row r="18">
      <c r="A18" s="10" t="inlineStr">
        <is>
          <t>Kuda Bank</t>
        </is>
      </c>
      <c r="B18" s="13">
        <f>COUNTIF('Cleaned Transactions'!G$2:G$269, A18)</f>
        <v/>
      </c>
      <c r="C18" s="13">
        <f>COUNTIFS('Cleaned Transactions'!G$2:G$269, A18, 'Cleaned Transactions'!L$2:L$269, "Successful")</f>
        <v/>
      </c>
      <c r="D18" s="13">
        <f>COUNTIFS('Cleaned Transactions'!G$2:G$269, A18, 'Cleaned Transactions'!L$2:L$269, "Failed")</f>
        <v/>
      </c>
      <c r="E18" s="14">
        <f>IFERROR(C18/B18, 0)</f>
        <v/>
      </c>
    </row>
    <row r="19">
      <c r="A19" s="10" t="inlineStr">
        <is>
          <t>OPay</t>
        </is>
      </c>
      <c r="B19" s="13">
        <f>COUNTIF('Cleaned Transactions'!G$2:G$269, A19)</f>
        <v/>
      </c>
      <c r="C19" s="13">
        <f>COUNTIFS('Cleaned Transactions'!G$2:G$269, A19, 'Cleaned Transactions'!L$2:L$269, "Successful")</f>
        <v/>
      </c>
      <c r="D19" s="13">
        <f>COUNTIFS('Cleaned Transactions'!G$2:G$269, A19, 'Cleaned Transactions'!L$2:L$269, "Failed")</f>
        <v/>
      </c>
      <c r="E19" s="14">
        <f>IFERROR(C19/B19, 0)</f>
        <v/>
      </c>
    </row>
    <row r="20">
      <c r="A20" s="10" t="inlineStr">
        <is>
          <t>Moniepoint</t>
        </is>
      </c>
      <c r="B20" s="13">
        <f>COUNTIF('Cleaned Transactions'!G$2:G$269, A20)</f>
        <v/>
      </c>
      <c r="C20" s="13">
        <f>COUNTIFS('Cleaned Transactions'!G$2:G$269, A20, 'Cleaned Transactions'!L$2:L$269, "Successful")</f>
        <v/>
      </c>
      <c r="D20" s="13">
        <f>COUNTIFS('Cleaned Transactions'!G$2:G$269, A20, 'Cleaned Transactions'!L$2:L$269, "Failed")</f>
        <v/>
      </c>
      <c r="E20" s="14">
        <f>IFERROR(C20/B20, 0)</f>
        <v/>
      </c>
    </row>
    <row r="21">
      <c r="A21" s="10" t="inlineStr">
        <is>
          <t>UBA</t>
        </is>
      </c>
      <c r="B21" s="13">
        <f>COUNTIF('Cleaned Transactions'!G$2:G$269, A21)</f>
        <v/>
      </c>
      <c r="C21" s="13">
        <f>COUNTIFS('Cleaned Transactions'!G$2:G$269, A21, 'Cleaned Transactions'!L$2:L$269, "Successful")</f>
        <v/>
      </c>
      <c r="D21" s="13">
        <f>COUNTIFS('Cleaned Transactions'!G$2:G$269, A21, 'Cleaned Transactions'!L$2:L$269, "Failed")</f>
        <v/>
      </c>
      <c r="E21" s="14">
        <f>IFERROR(C21/B21, 0)</f>
        <v/>
      </c>
    </row>
    <row r="22"/>
    <row r="23"/>
    <row r="24">
      <c r="A24" s="33" t="inlineStr">
        <is>
          <t>3. Hourly Transaction Distribution &amp; Peak Float Demand</t>
        </is>
      </c>
    </row>
    <row r="25">
      <c r="A25" s="34" t="inlineStr">
        <is>
          <t>Hour of Day</t>
        </is>
      </c>
      <c r="B25" s="34" t="inlineStr">
        <is>
          <t>Tx Count</t>
        </is>
      </c>
      <c r="C25" s="34" t="inlineStr">
        <is>
          <t>Total Volume (NGN)</t>
        </is>
      </c>
      <c r="D25" s="34" t="inlineStr">
        <is>
          <t>Net Profit (NGN)</t>
        </is>
      </c>
    </row>
    <row r="26">
      <c r="A26" s="10" t="inlineStr">
        <is>
          <t>06:00</t>
        </is>
      </c>
      <c r="B26" s="13">
        <f>COUNTIF('Cleaned Transactions'!E$2:E$269, 6)</f>
        <v/>
      </c>
      <c r="C26" s="11">
        <f>SUMIFS('Cleaned Transactions'!H$2:H$269, 'Cleaned Transactions'!E$2:E$269, 6, 'Cleaned Transactions'!L$2:L$269, "Successful")</f>
        <v/>
      </c>
      <c r="D26" s="11">
        <f>SUMIF('Cleaned Transactions'!E$2:E$269, 6, 'Cleaned Transactions'!K$2:K$269)</f>
        <v/>
      </c>
    </row>
    <row r="27">
      <c r="A27" s="10" t="inlineStr">
        <is>
          <t>07:00</t>
        </is>
      </c>
      <c r="B27" s="13">
        <f>COUNTIF('Cleaned Transactions'!E$2:E$269, 7)</f>
        <v/>
      </c>
      <c r="C27" s="11">
        <f>SUMIFS('Cleaned Transactions'!H$2:H$269, 'Cleaned Transactions'!E$2:E$269, 7, 'Cleaned Transactions'!L$2:L$269, "Successful")</f>
        <v/>
      </c>
      <c r="D27" s="11">
        <f>SUMIF('Cleaned Transactions'!E$2:E$269, 7, 'Cleaned Transactions'!K$2:K$269)</f>
        <v/>
      </c>
    </row>
    <row r="28">
      <c r="A28" s="10" t="inlineStr">
        <is>
          <t>08:00</t>
        </is>
      </c>
      <c r="B28" s="13">
        <f>COUNTIF('Cleaned Transactions'!E$2:E$269, 8)</f>
        <v/>
      </c>
      <c r="C28" s="11">
        <f>SUMIFS('Cleaned Transactions'!H$2:H$269, 'Cleaned Transactions'!E$2:E$269, 8, 'Cleaned Transactions'!L$2:L$269, "Successful")</f>
        <v/>
      </c>
      <c r="D28" s="11">
        <f>SUMIF('Cleaned Transactions'!E$2:E$269, 8, 'Cleaned Transactions'!K$2:K$269)</f>
        <v/>
      </c>
    </row>
    <row r="29">
      <c r="A29" s="10" t="inlineStr">
        <is>
          <t>09:00</t>
        </is>
      </c>
      <c r="B29" s="13">
        <f>COUNTIF('Cleaned Transactions'!E$2:E$269, 9)</f>
        <v/>
      </c>
      <c r="C29" s="11">
        <f>SUMIFS('Cleaned Transactions'!H$2:H$269, 'Cleaned Transactions'!E$2:E$269, 9, 'Cleaned Transactions'!L$2:L$269, "Successful")</f>
        <v/>
      </c>
      <c r="D29" s="11">
        <f>SUMIF('Cleaned Transactions'!E$2:E$269, 9, 'Cleaned Transactions'!K$2:K$269)</f>
        <v/>
      </c>
    </row>
    <row r="30">
      <c r="A30" s="10" t="inlineStr">
        <is>
          <t>10:00</t>
        </is>
      </c>
      <c r="B30" s="13">
        <f>COUNTIF('Cleaned Transactions'!E$2:E$269, 10)</f>
        <v/>
      </c>
      <c r="C30" s="11">
        <f>SUMIFS('Cleaned Transactions'!H$2:H$269, 'Cleaned Transactions'!E$2:E$269, 10, 'Cleaned Transactions'!L$2:L$269, "Successful")</f>
        <v/>
      </c>
      <c r="D30" s="11">
        <f>SUMIF('Cleaned Transactions'!E$2:E$269, 10, 'Cleaned Transactions'!K$2:K$269)</f>
        <v/>
      </c>
    </row>
    <row r="31">
      <c r="A31" s="10" t="inlineStr">
        <is>
          <t>11:00</t>
        </is>
      </c>
      <c r="B31" s="13">
        <f>COUNTIF('Cleaned Transactions'!E$2:E$269, 11)</f>
        <v/>
      </c>
      <c r="C31" s="11">
        <f>SUMIFS('Cleaned Transactions'!H$2:H$269, 'Cleaned Transactions'!E$2:E$269, 11, 'Cleaned Transactions'!L$2:L$269, "Successful")</f>
        <v/>
      </c>
      <c r="D31" s="11">
        <f>SUMIF('Cleaned Transactions'!E$2:E$269, 11, 'Cleaned Transactions'!K$2:K$269)</f>
        <v/>
      </c>
    </row>
    <row r="32">
      <c r="A32" s="10" t="inlineStr">
        <is>
          <t>12:00</t>
        </is>
      </c>
      <c r="B32" s="13">
        <f>COUNTIF('Cleaned Transactions'!E$2:E$269, 12)</f>
        <v/>
      </c>
      <c r="C32" s="11">
        <f>SUMIFS('Cleaned Transactions'!H$2:H$269, 'Cleaned Transactions'!E$2:E$269, 12, 'Cleaned Transactions'!L$2:L$269, "Successful")</f>
        <v/>
      </c>
      <c r="D32" s="11">
        <f>SUMIF('Cleaned Transactions'!E$2:E$269, 12, 'Cleaned Transactions'!K$2:K$269)</f>
        <v/>
      </c>
    </row>
    <row r="33">
      <c r="A33" s="10" t="inlineStr">
        <is>
          <t>13:00</t>
        </is>
      </c>
      <c r="B33" s="13">
        <f>COUNTIF('Cleaned Transactions'!E$2:E$269, 13)</f>
        <v/>
      </c>
      <c r="C33" s="11">
        <f>SUMIFS('Cleaned Transactions'!H$2:H$269, 'Cleaned Transactions'!E$2:E$269, 13, 'Cleaned Transactions'!L$2:L$269, "Successful")</f>
        <v/>
      </c>
      <c r="D33" s="11">
        <f>SUMIF('Cleaned Transactions'!E$2:E$269, 13, 'Cleaned Transactions'!K$2:K$269)</f>
        <v/>
      </c>
    </row>
    <row r="34">
      <c r="A34" s="10" t="inlineStr">
        <is>
          <t>14:00</t>
        </is>
      </c>
      <c r="B34" s="13">
        <f>COUNTIF('Cleaned Transactions'!E$2:E$269, 14)</f>
        <v/>
      </c>
      <c r="C34" s="11">
        <f>SUMIFS('Cleaned Transactions'!H$2:H$269, 'Cleaned Transactions'!E$2:E$269, 14, 'Cleaned Transactions'!L$2:L$269, "Successful")</f>
        <v/>
      </c>
      <c r="D34" s="11">
        <f>SUMIF('Cleaned Transactions'!E$2:E$269, 14, 'Cleaned Transactions'!K$2:K$269)</f>
        <v/>
      </c>
    </row>
    <row r="35">
      <c r="A35" s="10" t="inlineStr">
        <is>
          <t>15:00</t>
        </is>
      </c>
      <c r="B35" s="13">
        <f>COUNTIF('Cleaned Transactions'!E$2:E$269, 15)</f>
        <v/>
      </c>
      <c r="C35" s="11">
        <f>SUMIFS('Cleaned Transactions'!H$2:H$269, 'Cleaned Transactions'!E$2:E$269, 15, 'Cleaned Transactions'!L$2:L$269, "Successful")</f>
        <v/>
      </c>
      <c r="D35" s="11">
        <f>SUMIF('Cleaned Transactions'!E$2:E$269, 15, 'Cleaned Transactions'!K$2:K$269)</f>
        <v/>
      </c>
    </row>
    <row r="36">
      <c r="A36" s="10" t="inlineStr">
        <is>
          <t>16:00</t>
        </is>
      </c>
      <c r="B36" s="13">
        <f>COUNTIF('Cleaned Transactions'!E$2:E$269, 16)</f>
        <v/>
      </c>
      <c r="C36" s="11">
        <f>SUMIFS('Cleaned Transactions'!H$2:H$269, 'Cleaned Transactions'!E$2:E$269, 16, 'Cleaned Transactions'!L$2:L$269, "Successful")</f>
        <v/>
      </c>
      <c r="D36" s="11">
        <f>SUMIF('Cleaned Transactions'!E$2:E$269, 16, 'Cleaned Transactions'!K$2:K$269)</f>
        <v/>
      </c>
    </row>
    <row r="37">
      <c r="A37" s="10" t="inlineStr">
        <is>
          <t>17:00</t>
        </is>
      </c>
      <c r="B37" s="13">
        <f>COUNTIF('Cleaned Transactions'!E$2:E$269, 17)</f>
        <v/>
      </c>
      <c r="C37" s="11">
        <f>SUMIFS('Cleaned Transactions'!H$2:H$269, 'Cleaned Transactions'!E$2:E$269, 17, 'Cleaned Transactions'!L$2:L$269, "Successful")</f>
        <v/>
      </c>
      <c r="D37" s="11">
        <f>SUMIF('Cleaned Transactions'!E$2:E$269, 17, 'Cleaned Transactions'!K$2:K$269)</f>
        <v/>
      </c>
    </row>
    <row r="38">
      <c r="A38" s="10" t="inlineStr">
        <is>
          <t>18:00</t>
        </is>
      </c>
      <c r="B38" s="13">
        <f>COUNTIF('Cleaned Transactions'!E$2:E$269, 18)</f>
        <v/>
      </c>
      <c r="C38" s="11">
        <f>SUMIFS('Cleaned Transactions'!H$2:H$269, 'Cleaned Transactions'!E$2:E$269, 18, 'Cleaned Transactions'!L$2:L$269, "Successful")</f>
        <v/>
      </c>
      <c r="D38" s="11">
        <f>SUMIF('Cleaned Transactions'!E$2:E$269, 18, 'Cleaned Transactions'!K$2:K$269)</f>
        <v/>
      </c>
    </row>
    <row r="39">
      <c r="A39" s="10" t="inlineStr">
        <is>
          <t>19:00</t>
        </is>
      </c>
      <c r="B39" s="13">
        <f>COUNTIF('Cleaned Transactions'!E$2:E$269, 19)</f>
        <v/>
      </c>
      <c r="C39" s="11">
        <f>SUMIFS('Cleaned Transactions'!H$2:H$269, 'Cleaned Transactions'!E$2:E$269, 19, 'Cleaned Transactions'!L$2:L$269, "Successful")</f>
        <v/>
      </c>
      <c r="D39" s="11">
        <f>SUMIF('Cleaned Transactions'!E$2:E$269, 19, 'Cleaned Transactions'!K$2:K$269)</f>
        <v/>
      </c>
    </row>
    <row r="40">
      <c r="A40" s="10" t="inlineStr">
        <is>
          <t>20:00</t>
        </is>
      </c>
      <c r="B40" s="13">
        <f>COUNTIF('Cleaned Transactions'!E$2:E$269, 20)</f>
        <v/>
      </c>
      <c r="C40" s="11">
        <f>SUMIFS('Cleaned Transactions'!H$2:H$269, 'Cleaned Transactions'!E$2:E$269, 20, 'Cleaned Transactions'!L$2:L$269, "Successful")</f>
        <v/>
      </c>
      <c r="D40" s="11">
        <f>SUMIF('Cleaned Transactions'!E$2:E$269, 20, 'Cleaned Transactions'!K$2:K$269)</f>
        <v/>
      </c>
    </row>
    <row r="41">
      <c r="A41" s="10" t="inlineStr">
        <is>
          <t>21:00</t>
        </is>
      </c>
      <c r="B41" s="13">
        <f>COUNTIF('Cleaned Transactions'!E$2:E$269, 21)</f>
        <v/>
      </c>
      <c r="C41" s="11">
        <f>SUMIFS('Cleaned Transactions'!H$2:H$269, 'Cleaned Transactions'!E$2:E$269, 21, 'Cleaned Transactions'!L$2:L$269, "Successful")</f>
        <v/>
      </c>
      <c r="D41" s="11">
        <f>SUMIF('Cleaned Transactions'!E$2:E$269, 21, 'Cleaned Transactions'!K$2:K$269)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2026-10-07T10:55:30Z</dcterms:created>
  <dcterms:modified xmlns:dcterms="http://purl.org/dc/terms/" xmlns:xsi="http://www.w3.org/2001/XMLSchema-instance" xsi:type="dcterms:W3CDTF">2026-10-07T10:55:31Z</dcterms:modified>
</cp:coreProperties>
</file>